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m089r172_home_ku_edu/Documents/old_codes_And_new_mac_codes/Python_docs/Data/"/>
    </mc:Choice>
  </mc:AlternateContent>
  <xr:revisionPtr revIDLastSave="49" documentId="13_ncr:1_{C175E99A-DECC-5D44-B72A-97D95A187DE6}" xr6:coauthVersionLast="47" xr6:coauthVersionMax="47" xr10:uidLastSave="{FE035A7A-787B-8541-88F8-069ED3001C15}"/>
  <bookViews>
    <workbookView xWindow="0" yWindow="760" windowWidth="30240" windowHeight="17440" activeTab="2" xr2:uid="{00000000-000D-0000-FFFF-FFFF00000000}"/>
  </bookViews>
  <sheets>
    <sheet name="FieldIDs" sheetId="1" r:id="rId1"/>
    <sheet name="FieldAnnualData" sheetId="2" r:id="rId2"/>
    <sheet name="FieldMonthlyIrrigation" sheetId="3" r:id="rId3"/>
    <sheet name="FieldMonthlyIrrigation-PasteVal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3" l="1"/>
  <c r="I91" i="3"/>
  <c r="I90" i="3"/>
  <c r="H92" i="3"/>
  <c r="H89" i="3"/>
  <c r="H88" i="3"/>
  <c r="G92" i="3"/>
  <c r="G91" i="3"/>
  <c r="G90" i="3"/>
  <c r="G89" i="3"/>
  <c r="I82" i="3" l="1"/>
  <c r="I81" i="3"/>
  <c r="I80" i="3"/>
  <c r="I79" i="3"/>
  <c r="H82" i="3"/>
  <c r="H81" i="3"/>
  <c r="H80" i="3"/>
  <c r="H79" i="3"/>
  <c r="H78" i="3"/>
  <c r="H77" i="3"/>
  <c r="G82" i="3"/>
  <c r="G81" i="3"/>
  <c r="G80" i="3"/>
  <c r="G79" i="3"/>
  <c r="I70" i="3" l="1"/>
  <c r="I69" i="3"/>
  <c r="H70" i="3"/>
  <c r="H69" i="3"/>
  <c r="G70" i="3"/>
  <c r="G69" i="3"/>
  <c r="G68" i="3"/>
  <c r="G67" i="3"/>
  <c r="G66" i="3"/>
  <c r="I58" i="3" l="1"/>
  <c r="I57" i="3"/>
  <c r="I56" i="3"/>
  <c r="I55" i="3"/>
  <c r="H58" i="3"/>
  <c r="H57" i="3"/>
  <c r="H56" i="3"/>
  <c r="H55" i="3"/>
  <c r="H54" i="3"/>
  <c r="G57" i="3"/>
  <c r="G58" i="3"/>
  <c r="G56" i="3"/>
  <c r="G55" i="3"/>
  <c r="G54" i="3"/>
  <c r="I46" i="3" l="1"/>
  <c r="I45" i="3"/>
  <c r="I44" i="3"/>
  <c r="I43" i="3"/>
  <c r="I42" i="3"/>
  <c r="H46" i="3"/>
  <c r="H45" i="3"/>
  <c r="H44" i="3"/>
  <c r="H43" i="3"/>
  <c r="H42" i="3"/>
  <c r="G46" i="3"/>
  <c r="G45" i="3"/>
  <c r="G44" i="3"/>
  <c r="G43" i="3"/>
  <c r="G42" i="3"/>
  <c r="G35" i="3" l="1"/>
  <c r="G34" i="3"/>
  <c r="G33" i="3"/>
  <c r="G32" i="3"/>
  <c r="G31" i="3"/>
  <c r="G30" i="3"/>
  <c r="G22" i="3" l="1"/>
  <c r="G21" i="3"/>
  <c r="G20" i="3"/>
  <c r="G19" i="3"/>
  <c r="G17" i="3"/>
  <c r="G18" i="3"/>
  <c r="G11" i="3" l="1"/>
  <c r="G10" i="3"/>
  <c r="G9" i="3"/>
  <c r="G8" i="3"/>
  <c r="G5" i="3"/>
  <c r="G7" i="3" l="1"/>
  <c r="B4" i="3" l="1"/>
  <c r="B5" i="3"/>
  <c r="B7" i="3"/>
  <c r="B8" i="3"/>
  <c r="B9" i="3"/>
  <c r="B10" i="3"/>
  <c r="B11" i="3"/>
  <c r="B12" i="3"/>
  <c r="C4" i="3"/>
  <c r="C5" i="3"/>
  <c r="C7" i="3"/>
  <c r="C8" i="3"/>
  <c r="C9" i="3"/>
  <c r="C10" i="3"/>
  <c r="C11" i="3"/>
  <c r="C12" i="3"/>
  <c r="D4" i="3"/>
  <c r="D5" i="3"/>
  <c r="D7" i="3"/>
  <c r="D8" i="3"/>
  <c r="D9" i="3"/>
  <c r="D10" i="3"/>
  <c r="D11" i="3"/>
  <c r="D12" i="3"/>
  <c r="E4" i="3"/>
  <c r="E5" i="3"/>
  <c r="E7" i="3"/>
  <c r="E8" i="3"/>
  <c r="E9" i="3"/>
  <c r="E10" i="3"/>
  <c r="E11" i="3"/>
  <c r="E12" i="3"/>
  <c r="F4" i="3"/>
  <c r="F5" i="3"/>
  <c r="F7" i="3"/>
  <c r="F8" i="3"/>
  <c r="F9" i="3"/>
  <c r="F10" i="3"/>
  <c r="F11" i="3"/>
  <c r="F12" i="3"/>
  <c r="B16" i="3"/>
  <c r="B17" i="3"/>
  <c r="B18" i="3"/>
  <c r="B19" i="3"/>
  <c r="B20" i="3"/>
  <c r="B21" i="3"/>
  <c r="B22" i="3"/>
  <c r="B23" i="3"/>
  <c r="B24" i="3"/>
  <c r="C16" i="3"/>
  <c r="C17" i="3"/>
  <c r="C18" i="3"/>
  <c r="C19" i="3"/>
  <c r="C20" i="3"/>
  <c r="C21" i="3"/>
  <c r="C22" i="3"/>
  <c r="C23" i="3"/>
  <c r="C24" i="3"/>
  <c r="D16" i="3"/>
  <c r="D17" i="3"/>
  <c r="D18" i="3"/>
  <c r="D19" i="3"/>
  <c r="D20" i="3"/>
  <c r="D21" i="3"/>
  <c r="D22" i="3"/>
  <c r="D23" i="3"/>
  <c r="D24" i="3"/>
  <c r="E16" i="3"/>
  <c r="E17" i="3"/>
  <c r="E18" i="3"/>
  <c r="E19" i="3"/>
  <c r="E20" i="3"/>
  <c r="E21" i="3"/>
  <c r="E22" i="3"/>
  <c r="E23" i="3"/>
  <c r="E24" i="3"/>
  <c r="F16" i="3"/>
  <c r="F17" i="3"/>
  <c r="F18" i="3"/>
  <c r="F19" i="3"/>
  <c r="F20" i="3"/>
  <c r="F21" i="3"/>
  <c r="F22" i="3"/>
  <c r="F23" i="3"/>
  <c r="F24" i="3"/>
  <c r="B29" i="3"/>
  <c r="C29" i="3"/>
  <c r="D29" i="3"/>
  <c r="E29" i="3"/>
  <c r="F29" i="3"/>
  <c r="B31" i="3"/>
  <c r="C31" i="3"/>
  <c r="D31" i="3"/>
  <c r="E31" i="3"/>
  <c r="F31" i="3"/>
  <c r="B32" i="3"/>
  <c r="C32" i="3"/>
  <c r="D32" i="3"/>
  <c r="E32" i="3"/>
  <c r="F32" i="3"/>
  <c r="B33" i="3"/>
  <c r="C33" i="3"/>
  <c r="D33" i="3"/>
  <c r="E33" i="3"/>
  <c r="F33" i="3"/>
  <c r="B34" i="3"/>
  <c r="C34" i="3"/>
  <c r="D34" i="3"/>
  <c r="E34" i="3"/>
  <c r="F34" i="3"/>
  <c r="B35" i="3"/>
  <c r="C35" i="3"/>
  <c r="D35" i="3"/>
  <c r="E35" i="3"/>
  <c r="F35" i="3"/>
  <c r="B36" i="3"/>
  <c r="C36" i="3"/>
  <c r="D36" i="3"/>
  <c r="E36" i="3"/>
  <c r="F36" i="3"/>
  <c r="B42" i="3"/>
  <c r="C42" i="3"/>
  <c r="D42" i="3"/>
  <c r="E42" i="3"/>
  <c r="F42" i="3"/>
  <c r="B43" i="3"/>
  <c r="C43" i="3"/>
  <c r="D43" i="3"/>
  <c r="E43" i="3"/>
  <c r="F43" i="3"/>
  <c r="B44" i="3"/>
  <c r="C44" i="3"/>
  <c r="D44" i="3"/>
  <c r="E44" i="3"/>
  <c r="F44" i="3"/>
  <c r="B45" i="3"/>
  <c r="C45" i="3"/>
  <c r="D45" i="3"/>
  <c r="E45" i="3"/>
  <c r="F45" i="3"/>
  <c r="B46" i="3"/>
  <c r="C46" i="3"/>
  <c r="D46" i="3"/>
  <c r="E46" i="3"/>
  <c r="F46" i="3"/>
  <c r="B47" i="3"/>
  <c r="C47" i="3"/>
  <c r="D47" i="3"/>
  <c r="E47" i="3"/>
  <c r="F47" i="3"/>
  <c r="B54" i="3"/>
  <c r="C54" i="3"/>
  <c r="D54" i="3"/>
  <c r="E54" i="3"/>
  <c r="F54" i="3"/>
  <c r="B55" i="3"/>
  <c r="C55" i="3"/>
  <c r="D55" i="3"/>
  <c r="E55" i="3"/>
  <c r="F55" i="3"/>
  <c r="B56" i="3"/>
  <c r="C56" i="3"/>
  <c r="D56" i="3"/>
  <c r="E56" i="3"/>
  <c r="F56" i="3"/>
  <c r="B57" i="3"/>
  <c r="C57" i="3"/>
  <c r="D57" i="3"/>
  <c r="E57" i="3"/>
  <c r="F57" i="3"/>
  <c r="B58" i="3"/>
  <c r="C58" i="3"/>
  <c r="D58" i="3"/>
  <c r="E58" i="3"/>
  <c r="F58" i="3"/>
  <c r="B59" i="3"/>
  <c r="C59" i="3"/>
  <c r="D59" i="3"/>
  <c r="E59" i="3"/>
  <c r="F59" i="3"/>
  <c r="B66" i="3"/>
  <c r="C66" i="3"/>
  <c r="D66" i="3"/>
  <c r="E66" i="3"/>
  <c r="F66" i="3"/>
  <c r="B67" i="3"/>
  <c r="C67" i="3"/>
  <c r="D67" i="3"/>
  <c r="E67" i="3"/>
  <c r="F67" i="3"/>
  <c r="H67" i="3"/>
  <c r="I67" i="3"/>
  <c r="B68" i="3"/>
  <c r="C68" i="3"/>
  <c r="D68" i="3"/>
  <c r="E68" i="3"/>
  <c r="F68" i="3"/>
  <c r="H68" i="3"/>
  <c r="I68" i="3"/>
  <c r="B69" i="3"/>
  <c r="C69" i="3"/>
  <c r="D69" i="3"/>
  <c r="E69" i="3"/>
  <c r="F69" i="3"/>
  <c r="B70" i="3"/>
  <c r="C70" i="3"/>
  <c r="D70" i="3"/>
  <c r="E70" i="3"/>
  <c r="F70" i="3"/>
  <c r="B71" i="3"/>
  <c r="C71" i="3"/>
  <c r="D71" i="3"/>
  <c r="E71" i="3"/>
  <c r="F71" i="3"/>
  <c r="B78" i="3"/>
  <c r="C78" i="3"/>
  <c r="D78" i="3"/>
  <c r="E78" i="3"/>
  <c r="F78" i="3"/>
  <c r="B79" i="3"/>
  <c r="C79" i="3"/>
  <c r="D79" i="3"/>
  <c r="E79" i="3"/>
  <c r="F79" i="3"/>
  <c r="B80" i="3"/>
  <c r="C80" i="3"/>
  <c r="D80" i="3"/>
  <c r="E80" i="3"/>
  <c r="F80" i="3"/>
  <c r="B81" i="3"/>
  <c r="C81" i="3"/>
  <c r="D81" i="3"/>
  <c r="E81" i="3"/>
  <c r="F81" i="3"/>
  <c r="B82" i="3"/>
  <c r="C82" i="3"/>
  <c r="D82" i="3"/>
  <c r="E82" i="3"/>
  <c r="F82" i="3"/>
  <c r="B83" i="3"/>
  <c r="C83" i="3"/>
  <c r="D83" i="3"/>
  <c r="E83" i="3"/>
  <c r="F83" i="3"/>
  <c r="B89" i="3"/>
  <c r="C89" i="3"/>
  <c r="D89" i="3"/>
  <c r="E89" i="3"/>
  <c r="F89" i="3"/>
  <c r="B90" i="3"/>
  <c r="C90" i="3"/>
  <c r="D90" i="3"/>
  <c r="E90" i="3"/>
  <c r="F90" i="3"/>
  <c r="H90" i="3"/>
  <c r="B91" i="3"/>
  <c r="C91" i="3"/>
  <c r="D91" i="3"/>
  <c r="E91" i="3"/>
  <c r="F91" i="3"/>
  <c r="H91" i="3"/>
  <c r="B92" i="3"/>
  <c r="C92" i="3"/>
  <c r="D92" i="3"/>
  <c r="E92" i="3"/>
  <c r="F92" i="3"/>
  <c r="B93" i="3"/>
  <c r="C93" i="3"/>
  <c r="D93" i="3"/>
  <c r="E93" i="3"/>
  <c r="F93" i="3"/>
  <c r="G93" i="3"/>
  <c r="H93" i="3"/>
  <c r="I93" i="3"/>
  <c r="B94" i="3"/>
  <c r="C94" i="3"/>
  <c r="D94" i="3"/>
  <c r="E94" i="3"/>
  <c r="F94" i="3"/>
  <c r="G94" i="3"/>
  <c r="H94" i="3"/>
  <c r="I94" i="3"/>
  <c r="B95" i="3"/>
  <c r="C95" i="3"/>
  <c r="D95" i="3"/>
  <c r="E95" i="3"/>
  <c r="F95" i="3"/>
</calcChain>
</file>

<file path=xl/sharedStrings.xml><?xml version="1.0" encoding="utf-8"?>
<sst xmlns="http://schemas.openxmlformats.org/spreadsheetml/2006/main" count="897" uniqueCount="69">
  <si>
    <t>FieldID</t>
  </si>
  <si>
    <t>QuadK_Name</t>
  </si>
  <si>
    <t>Lat</t>
  </si>
  <si>
    <t>Long</t>
  </si>
  <si>
    <t>Notes</t>
  </si>
  <si>
    <t>Rp3</t>
  </si>
  <si>
    <t>Rp1</t>
  </si>
  <si>
    <t>Rp2</t>
  </si>
  <si>
    <t>Rp4</t>
  </si>
  <si>
    <t>Rp5</t>
  </si>
  <si>
    <t>39.7218816</t>
  </si>
  <si>
    <t>-100.979932</t>
  </si>
  <si>
    <t>39.71321</t>
  </si>
  <si>
    <t>-100.975771</t>
  </si>
  <si>
    <t>39.7134666</t>
  </si>
  <si>
    <t>-100.964833</t>
  </si>
  <si>
    <t>39.7118937</t>
  </si>
  <si>
    <t>-100.988486</t>
  </si>
  <si>
    <t>39.7119866</t>
  </si>
  <si>
    <t>-100.975495</t>
  </si>
  <si>
    <t>NW1</t>
  </si>
  <si>
    <t>NW2</t>
  </si>
  <si>
    <t>NW3</t>
  </si>
  <si>
    <t>NW4</t>
  </si>
  <si>
    <t>NW5</t>
  </si>
  <si>
    <t>Bp1</t>
  </si>
  <si>
    <t>In Nebraska; Bp1 = KK_BrownsPivot in field boundaries shapefile; Lat/Long from AgSenseLogs tab in KastensIrrigationInfo2022.xlsx file;</t>
  </si>
  <si>
    <t>NB1</t>
  </si>
  <si>
    <t>40.0331458</t>
  </si>
  <si>
    <t>-100.995183</t>
  </si>
  <si>
    <t>Ap1A</t>
  </si>
  <si>
    <t>Ap1B</t>
  </si>
  <si>
    <t>NW6</t>
  </si>
  <si>
    <t>NW7</t>
  </si>
  <si>
    <t>Year</t>
  </si>
  <si>
    <t>Yield_buAc</t>
  </si>
  <si>
    <t>area_ac</t>
  </si>
  <si>
    <t>cropType</t>
  </si>
  <si>
    <t>water_in</t>
  </si>
  <si>
    <t>NA</t>
  </si>
  <si>
    <t>Corn</t>
  </si>
  <si>
    <t>CropScape says half alfalfa</t>
  </si>
  <si>
    <t>n_crop</t>
  </si>
  <si>
    <t>Corn_Alfalfa</t>
  </si>
  <si>
    <t>wheat</t>
  </si>
  <si>
    <t>Wheat</t>
  </si>
  <si>
    <t>Fallow</t>
  </si>
  <si>
    <t>CropScape says fallow</t>
  </si>
  <si>
    <t>cropType from CornYield spreadsheet + verified on CropScape</t>
  </si>
  <si>
    <t>Noted as wheat in CornYield spreadsheet, verified on CropScape</t>
  </si>
  <si>
    <t>Not listed in CornYield spreadsheet but CropScape says Corn</t>
  </si>
  <si>
    <t>CropScape says soybeans</t>
  </si>
  <si>
    <t>Soybeans</t>
  </si>
  <si>
    <t>Not listed in CornYield spreadsheet, CropScape has mix of corn, sorghum, soybeans in field</t>
  </si>
  <si>
    <t>Not listed in CornYield spreadsheet, CropScape has mix of corn, sorghum in field</t>
  </si>
  <si>
    <t>CropScape says wheat</t>
  </si>
  <si>
    <t>Noted as soybeans in CornYield spreadsheet, verified on CropScape</t>
  </si>
  <si>
    <t>Sorghum</t>
  </si>
  <si>
    <t>Noted as milo (sorghum) in CornYield spreadsheet, verified on CropScape</t>
  </si>
  <si>
    <t>Ruda12NW = Rp1 (from CornYield.xlsx file and verified against field boundaries shapefile); Lat/Long from AgSenseLogs tab in KastensIrrigationInfo2022.xlsx file; Rp fields all get reduced in area in CornYield spreadsheet (interpretation - took one of the tracks off the pivot) - the shapefiles correspond to the current (reduced) area</t>
  </si>
  <si>
    <t>Ruda12SW = Rp2 (from CornYield.xlsx file and verified against field boundaries shapefile); Lat/Long from AgSenseLogs tab in KastensIrrigationInfo2022.xlsx file; Rp fields all get reduced in area in CornYield spreadsheet (interpretation - took one of the tracks off the pivot) - the shapefiles correspond to the current (reduced) area</t>
  </si>
  <si>
    <t>Ruda12SE = Rp3 (from CornYield.xlsx file and verified against field boundaries shapefile); Lat/Long from AgSenseLogs tab in KastensIrrigationInfo2022.xlsx file; Rp fields all get reduced in area in CornYield spreadsheet (interpretation - took one of the tracks off the pivot) - the shapefiles correspond to the current (reduced) area</t>
  </si>
  <si>
    <t>Ruda14 = Rp4 (from CornYield.xlsx file and verified against field boundaries shapefile); Lat/Long from AgSenseLogs tab in KastensIrrigationInfo2022.xlsx file; Rp fields all get reduced in area in CornYield spreadsheet (interpretation - took one of the tracks off the pivot) - the shapefiles correspond to the current (reduced) area</t>
  </si>
  <si>
    <t>Ruda13 = Rp5 (from CornYield.xlsx file and verified against field boundaries shapefile); Lat/Long from AgSenseLogs tab in KastensIrrigationInfo2022.xlsx file; Rp fields all get reduced in area in CornYield spreadsheet (interpretation - took one of the tracks off the pivot) - the shapefiles correspond to the current (reduced) area</t>
  </si>
  <si>
    <t>MonthYear</t>
  </si>
  <si>
    <t>Ap1A in AgSenseLogs tab in KastensIrrigationInfo2022.xlsx file; Ant_RA31NE in field boundaries shapefiles; AntholzE in irrigation spreadsheets</t>
  </si>
  <si>
    <t>Ap1B in AgSenseLogs tab in KastensIrrigationInfo2022.xlsx file; Ant_RA31NW in field boundaries shapefiles; AntholzW in irrigation spreadsheets</t>
  </si>
  <si>
    <t>NC1</t>
  </si>
  <si>
    <t>NC2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</si>
</sst>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.shortcut-targets-by-id/1fM3-4oKs6lEiTg-VQECNObDmlw9jVdX3/EGGS/NASA%20OpenET/data/field-specific%20water%20use/QuadK/rawdata/KastensIrrigationInfo2015.xlsx" TargetMode="External"/><Relationship Id="rId1" Type="http://schemas.openxmlformats.org/officeDocument/2006/relationships/externalLinkPath" Target="file:///G:/.shortcut-targets-by-id/1fM3-4oKs6lEiTg-VQECNObDmlw9jVdX3/EGGS/NASA%20OpenET/data/field-specific%20water%20use/QuadK/rawdata/KastensIrrigationInfo201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.shortcut-targets-by-id/1fM3-4oKs6lEiTg-VQECNObDmlw9jVdX3/EGGS/NASA%20OpenET/data/field-specific%20water%20use/QuadK/rawdata/KastensIrrigationInfo2016.xlsx" TargetMode="External"/><Relationship Id="rId1" Type="http://schemas.openxmlformats.org/officeDocument/2006/relationships/externalLinkPath" Target="file:///G:/.shortcut-targets-by-id/1fM3-4oKs6lEiTg-VQECNObDmlw9jVdX3/EGGS/NASA%20OpenET/data/field-specific%20water%20use/QuadK/rawdata/KastensIrrigationInfo201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.shortcut-targets-by-id/1fM3-4oKs6lEiTg-VQECNObDmlw9jVdX3/EGGS/NASA%20OpenET/data/field-specific%20water%20use/QuadK/rawdata/KastensIrrigationInfo2017.xlsx" TargetMode="External"/><Relationship Id="rId1" Type="http://schemas.openxmlformats.org/officeDocument/2006/relationships/externalLinkPath" Target="file:///G:/.shortcut-targets-by-id/1fM3-4oKs6lEiTg-VQECNObDmlw9jVdX3/EGGS/NASA%20OpenET/data/field-specific%20water%20use/QuadK/rawdata/KastensIrrigationInfo201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.shortcut-targets-by-id/1fM3-4oKs6lEiTg-VQECNObDmlw9jVdX3/EGGS/NASA%20OpenET/data/field-specific%20water%20use/QuadK/rawdata/KastensIrrigationInfo2018.xlsx" TargetMode="External"/><Relationship Id="rId1" Type="http://schemas.openxmlformats.org/officeDocument/2006/relationships/externalLinkPath" Target="file:///G:/.shortcut-targets-by-id/1fM3-4oKs6lEiTg-VQECNObDmlw9jVdX3/EGGS/NASA%20OpenET/data/field-specific%20water%20use/QuadK/rawdata/KastensIrrigationInfo201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.shortcut-targets-by-id/1fM3-4oKs6lEiTg-VQECNObDmlw9jVdX3/EGGS/NASA%20OpenET/data/field-specific%20water%20use/QuadK/rawdata/KastensIrrigationInfo2019.xlsx" TargetMode="External"/><Relationship Id="rId1" Type="http://schemas.openxmlformats.org/officeDocument/2006/relationships/externalLinkPath" Target="file:///G:/.shortcut-targets-by-id/1fM3-4oKs6lEiTg-VQECNObDmlw9jVdX3/EGGS/NASA%20OpenET/data/field-specific%20water%20use/QuadK/rawdata/KastensIrrigationInfo2019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.shortcut-targets-by-id/1fM3-4oKs6lEiTg-VQECNObDmlw9jVdX3/EGGS/NASA%20OpenET/data/field-specific%20water%20use/QuadK/rawdata/KastensIrrigationInfo2020.xlsx" TargetMode="External"/><Relationship Id="rId1" Type="http://schemas.openxmlformats.org/officeDocument/2006/relationships/externalLinkPath" Target="file:///G:/.shortcut-targets-by-id/1fM3-4oKs6lEiTg-VQECNObDmlw9jVdX3/EGGS/NASA%20OpenET/data/field-specific%20water%20use/QuadK/rawdata/KastensIrrigationInfo2020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.shortcut-targets-by-id/1fM3-4oKs6lEiTg-VQECNObDmlw9jVdX3/EGGS/NASA%20OpenET/data/field-specific%20water%20use/QuadK/rawdata/KastensIrrigationInfo2021.xlsx" TargetMode="External"/><Relationship Id="rId1" Type="http://schemas.openxmlformats.org/officeDocument/2006/relationships/externalLinkPath" Target="file:///G:/.shortcut-targets-by-id/1fM3-4oKs6lEiTg-VQECNObDmlw9jVdX3/EGGS/NASA%20OpenET/data/field-specific%20water%20use/QuadK/rawdata/KastensIrrigationInfo2021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.shortcut-targets-by-id/1fM3-4oKs6lEiTg-VQECNObDmlw9jVdX3/EGGS/NASA%20OpenET/data/field-specific%20water%20use/QuadK/rawdata/KastensIrrigationInfo2022.xlsx" TargetMode="External"/><Relationship Id="rId1" Type="http://schemas.openxmlformats.org/officeDocument/2006/relationships/externalLinkPath" Target="file:///G:/.shortcut-targets-by-id/1fM3-4oKs6lEiTg-VQECNObDmlw9jVdX3/EGGS/NASA%20OpenET/data/field-specific%20water%20use/QuadK/rawdata/KastensIrrigationInfo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da"/>
      <sheetName val="Dave"/>
      <sheetName val="Brown"/>
      <sheetName val="AgSenselogs15"/>
    </sheetNames>
    <sheetDataSet>
      <sheetData sheetId="0">
        <row r="2">
          <cell r="FK2">
            <v>122.83740417157536</v>
          </cell>
          <cell r="FL2">
            <v>123.57832666666778</v>
          </cell>
          <cell r="FM2">
            <v>122.65173787457924</v>
          </cell>
          <cell r="FN2">
            <v>133.24438603339343</v>
          </cell>
          <cell r="FO2">
            <v>122.48281585622743</v>
          </cell>
        </row>
        <row r="12"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</row>
        <row r="38">
          <cell r="FK38">
            <v>12.516085987830778</v>
          </cell>
          <cell r="FL38">
            <v>17.157832707822319</v>
          </cell>
          <cell r="FM38">
            <v>0</v>
          </cell>
          <cell r="FN38">
            <v>0.25069880351399099</v>
          </cell>
          <cell r="FO38">
            <v>5.2236867302931485</v>
          </cell>
        </row>
        <row r="69">
          <cell r="FK69">
            <v>37.536651175544073</v>
          </cell>
          <cell r="FL69">
            <v>19.659496685891977</v>
          </cell>
          <cell r="FM69">
            <v>6.6732142342923249</v>
          </cell>
          <cell r="FN69">
            <v>0.25069880351399099</v>
          </cell>
          <cell r="FO69">
            <v>26.305947677531531</v>
          </cell>
        </row>
        <row r="123">
          <cell r="FK123">
            <v>46.394686950815057</v>
          </cell>
          <cell r="FL123">
            <v>26.253892772579217</v>
          </cell>
          <cell r="FM123">
            <v>24.326237411167011</v>
          </cell>
          <cell r="FN123">
            <v>25.816333432116867</v>
          </cell>
          <cell r="FO123">
            <v>36.556858010095858</v>
          </cell>
        </row>
        <row r="184">
          <cell r="FK184">
            <v>47.795093257380131</v>
          </cell>
          <cell r="FL184">
            <v>43.244338197116754</v>
          </cell>
          <cell r="FM184">
            <v>64.964812225255884</v>
          </cell>
          <cell r="FN184">
            <v>70.994055715047281</v>
          </cell>
          <cell r="FO184">
            <v>65.359809181973802</v>
          </cell>
        </row>
        <row r="239">
          <cell r="FK239">
            <v>59.703460860408605</v>
          </cell>
          <cell r="FL239">
            <v>84.211364874790959</v>
          </cell>
          <cell r="FM239">
            <v>91.290292339187232</v>
          </cell>
          <cell r="FN239">
            <v>95.146984067061638</v>
          </cell>
          <cell r="FO239">
            <v>88.18622643532548</v>
          </cell>
        </row>
        <row r="285">
          <cell r="FK285">
            <v>59.703460860408605</v>
          </cell>
          <cell r="FL285">
            <v>105.77824812125948</v>
          </cell>
          <cell r="FM285">
            <v>111.57310674195278</v>
          </cell>
          <cell r="FN285">
            <v>131.51105398135343</v>
          </cell>
          <cell r="FO285">
            <v>119.12243887179974</v>
          </cell>
        </row>
        <row r="339">
          <cell r="FK339">
            <v>91.219877365897972</v>
          </cell>
          <cell r="FL339">
            <v>117.12778490727526</v>
          </cell>
          <cell r="FM339">
            <v>112.56683203320833</v>
          </cell>
          <cell r="FN339">
            <v>144.88157395899259</v>
          </cell>
          <cell r="FO339">
            <v>137.54104031140005</v>
          </cell>
        </row>
        <row r="352">
          <cell r="FK352">
            <v>106.88087736589792</v>
          </cell>
          <cell r="FL352">
            <v>117.12778490727526</v>
          </cell>
          <cell r="FM352">
            <v>112.56683203320833</v>
          </cell>
          <cell r="FN352">
            <v>144.88157395899259</v>
          </cell>
          <cell r="FO352">
            <v>137.54104031140005</v>
          </cell>
        </row>
      </sheetData>
      <sheetData sheetId="1" refreshError="1"/>
      <sheetData sheetId="2">
        <row r="1">
          <cell r="S1">
            <v>101.11</v>
          </cell>
        </row>
        <row r="12">
          <cell r="W12">
            <v>0</v>
          </cell>
        </row>
        <row r="22">
          <cell r="W22">
            <v>9.134600000000006</v>
          </cell>
        </row>
        <row r="40">
          <cell r="W40">
            <v>21.154200000000031</v>
          </cell>
        </row>
        <row r="75">
          <cell r="W75">
            <v>54.572100000000006</v>
          </cell>
        </row>
        <row r="108">
          <cell r="W108">
            <v>84.41810000000001</v>
          </cell>
        </row>
        <row r="138">
          <cell r="W138">
            <v>110.2748</v>
          </cell>
        </row>
        <row r="154">
          <cell r="W154">
            <v>120.32140000000001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da"/>
      <sheetName val="Brown"/>
      <sheetName val="AgSenselogs16"/>
    </sheetNames>
    <sheetDataSet>
      <sheetData sheetId="0">
        <row r="2">
          <cell r="FK2">
            <v>122.83740417157536</v>
          </cell>
          <cell r="FL2">
            <v>123.57832666666778</v>
          </cell>
          <cell r="FM2">
            <v>122.65173787457924</v>
          </cell>
          <cell r="FN2">
            <v>133.24438603339343</v>
          </cell>
          <cell r="FO2">
            <v>122.48281585622743</v>
          </cell>
        </row>
        <row r="12"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</row>
        <row r="23">
          <cell r="FK23">
            <v>0</v>
          </cell>
          <cell r="FL23">
            <v>2.6819821899712712</v>
          </cell>
          <cell r="FM23">
            <v>0</v>
          </cell>
          <cell r="FN23">
            <v>3.0104776301093108</v>
          </cell>
          <cell r="FO23">
            <v>2.6707401799192816</v>
          </cell>
        </row>
        <row r="47">
          <cell r="FK47">
            <v>0</v>
          </cell>
          <cell r="FL47">
            <v>18.031413719604352</v>
          </cell>
          <cell r="FM47">
            <v>8.716486995076167</v>
          </cell>
          <cell r="FN47">
            <v>12.814314577860284</v>
          </cell>
          <cell r="FO47">
            <v>23.783384707458943</v>
          </cell>
        </row>
        <row r="66">
          <cell r="FK66">
            <v>10.606161397746735</v>
          </cell>
          <cell r="FL66">
            <v>19.99804862922489</v>
          </cell>
          <cell r="FM66">
            <v>19.537782314818198</v>
          </cell>
          <cell r="FN66">
            <v>23.333356284084456</v>
          </cell>
          <cell r="FO66">
            <v>23.783384707458943</v>
          </cell>
        </row>
        <row r="114">
          <cell r="FK114">
            <v>24.856111879161549</v>
          </cell>
          <cell r="FL114">
            <v>53.327928252995129</v>
          </cell>
          <cell r="FM114">
            <v>39.384944705306999</v>
          </cell>
          <cell r="FN114">
            <v>51.222365978272762</v>
          </cell>
          <cell r="FO114">
            <v>36.950849184263305</v>
          </cell>
        </row>
        <row r="174">
          <cell r="FK174">
            <v>32.452508616470361</v>
          </cell>
          <cell r="FL174">
            <v>85.327079375596298</v>
          </cell>
          <cell r="FM174">
            <v>71.84784223924639</v>
          </cell>
          <cell r="FN174">
            <v>91.006070161520782</v>
          </cell>
          <cell r="FO174">
            <v>59.074699607166011</v>
          </cell>
        </row>
        <row r="230">
          <cell r="FK230">
            <v>47.211773031247844</v>
          </cell>
          <cell r="FL230">
            <v>89.686212054078027</v>
          </cell>
          <cell r="FM230">
            <v>107.95261145005041</v>
          </cell>
          <cell r="FN230">
            <v>131.6440715998412</v>
          </cell>
          <cell r="FO230">
            <v>81.956503164556892</v>
          </cell>
        </row>
        <row r="271">
          <cell r="FK271">
            <v>62.772306819716171</v>
          </cell>
          <cell r="FL271">
            <v>98.787434651526198</v>
          </cell>
          <cell r="FM271">
            <v>143.52749505814694</v>
          </cell>
          <cell r="FN271">
            <v>151.01354132034672</v>
          </cell>
          <cell r="FO271">
            <v>115.38809345003828</v>
          </cell>
        </row>
        <row r="301">
          <cell r="FK301">
            <v>96.328843930020767</v>
          </cell>
          <cell r="FL301">
            <v>104.48569754122164</v>
          </cell>
          <cell r="FM301">
            <v>143.52749505814694</v>
          </cell>
          <cell r="FN301">
            <v>151.01354132034672</v>
          </cell>
          <cell r="FO301">
            <v>115.38809345003828</v>
          </cell>
        </row>
        <row r="317">
          <cell r="FK317">
            <v>118.56484393002064</v>
          </cell>
          <cell r="FL317">
            <v>104.48569754122164</v>
          </cell>
          <cell r="FM317">
            <v>143.52749505814694</v>
          </cell>
          <cell r="FN317">
            <v>151.01354132034672</v>
          </cell>
          <cell r="FO317">
            <v>115.38809345003828</v>
          </cell>
        </row>
      </sheetData>
      <sheetData sheetId="1">
        <row r="1">
          <cell r="S1">
            <v>101.11</v>
          </cell>
        </row>
        <row r="12">
          <cell r="W12">
            <v>0</v>
          </cell>
        </row>
        <row r="13">
          <cell r="W13">
            <v>1.670000000001437E-2</v>
          </cell>
        </row>
        <row r="25">
          <cell r="W25">
            <v>4.6875999999999749</v>
          </cell>
        </row>
        <row r="57">
          <cell r="W57">
            <v>29.470728688440072</v>
          </cell>
        </row>
        <row r="96">
          <cell r="W96">
            <v>57.046728688440069</v>
          </cell>
        </row>
        <row r="128">
          <cell r="W128">
            <v>83.687428688440065</v>
          </cell>
        </row>
        <row r="152">
          <cell r="W152">
            <v>99.844328688440072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da"/>
      <sheetName val="Brown"/>
      <sheetName val="AgSenselogs17"/>
    </sheetNames>
    <sheetDataSet>
      <sheetData sheetId="0">
        <row r="2">
          <cell r="FK2">
            <v>122.83740417157536</v>
          </cell>
          <cell r="FL2">
            <v>123.57832666666778</v>
          </cell>
          <cell r="FM2">
            <v>122.65173787457924</v>
          </cell>
          <cell r="FN2">
            <v>133.24438603339343</v>
          </cell>
          <cell r="FO2">
            <v>122.48281585622743</v>
          </cell>
        </row>
        <row r="12"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</row>
        <row r="49">
          <cell r="FK49">
            <v>15.43802369712704</v>
          </cell>
          <cell r="FL49">
            <v>13.168663394881722</v>
          </cell>
          <cell r="FM49">
            <v>4.8890861313501182</v>
          </cell>
          <cell r="FN49">
            <v>7.5323502525791772</v>
          </cell>
          <cell r="FO49">
            <v>9.6601765240619457</v>
          </cell>
        </row>
        <row r="98">
          <cell r="FK98">
            <v>33.253372756240935</v>
          </cell>
          <cell r="FL98">
            <v>25.800738149190739</v>
          </cell>
          <cell r="FM98">
            <v>22.596960604781117</v>
          </cell>
          <cell r="FN98">
            <v>46.422792684283806</v>
          </cell>
          <cell r="FO98">
            <v>31.343535805503407</v>
          </cell>
        </row>
        <row r="159">
          <cell r="FK159">
            <v>33.830677632894037</v>
          </cell>
          <cell r="FL159">
            <v>53.62809821255351</v>
          </cell>
          <cell r="FM159">
            <v>61.148397151909478</v>
          </cell>
          <cell r="FN159">
            <v>84.99288847959042</v>
          </cell>
          <cell r="FO159">
            <v>63.242638523052591</v>
          </cell>
        </row>
        <row r="206">
          <cell r="FK206">
            <v>50.181605196365503</v>
          </cell>
          <cell r="FL206">
            <v>83.349115623568622</v>
          </cell>
          <cell r="FM206">
            <v>83.009076503471945</v>
          </cell>
          <cell r="FN206">
            <v>131.44508138322942</v>
          </cell>
          <cell r="FO206">
            <v>74.105321293364568</v>
          </cell>
        </row>
        <row r="246">
          <cell r="FK246">
            <v>64.278042874855572</v>
          </cell>
          <cell r="FL246">
            <v>89.58899847519335</v>
          </cell>
          <cell r="FM246">
            <v>101.85498504332917</v>
          </cell>
          <cell r="FN246">
            <v>165.08154954501757</v>
          </cell>
          <cell r="FO246">
            <v>92.843924061604483</v>
          </cell>
        </row>
        <row r="302">
          <cell r="FK302">
            <v>87.612936676555435</v>
          </cell>
          <cell r="FL302">
            <v>108.09990317582414</v>
          </cell>
          <cell r="FM302">
            <v>117.56222330529503</v>
          </cell>
          <cell r="FN302">
            <v>167.20726857223985</v>
          </cell>
          <cell r="FO302">
            <v>113.31406827008556</v>
          </cell>
        </row>
        <row r="322">
          <cell r="FK322">
            <v>116.62873667655545</v>
          </cell>
          <cell r="FL322">
            <v>108.09990317582414</v>
          </cell>
          <cell r="FM322">
            <v>117.56222330529503</v>
          </cell>
          <cell r="FN322">
            <v>167.20726857223985</v>
          </cell>
          <cell r="FO322">
            <v>113.31406827008556</v>
          </cell>
        </row>
      </sheetData>
      <sheetData sheetId="1">
        <row r="1">
          <cell r="S1">
            <v>101.11</v>
          </cell>
        </row>
        <row r="12">
          <cell r="W12">
            <v>0</v>
          </cell>
        </row>
        <row r="16">
          <cell r="W16">
            <v>0.73640000000000327</v>
          </cell>
        </row>
        <row r="47">
          <cell r="W47">
            <v>22.378600000000006</v>
          </cell>
        </row>
        <row r="72">
          <cell r="W72">
            <v>39.8568</v>
          </cell>
        </row>
        <row r="108">
          <cell r="W108">
            <v>67.051299999999998</v>
          </cell>
        </row>
        <row r="141">
          <cell r="W141">
            <v>91.654899999999998</v>
          </cell>
        </row>
        <row r="151">
          <cell r="W151">
            <v>98.713399999999993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da"/>
      <sheetName val="Brown"/>
      <sheetName val="AntholzE"/>
      <sheetName val="AntholzW"/>
      <sheetName val="AgSenselogs18"/>
    </sheetNames>
    <sheetDataSet>
      <sheetData sheetId="0">
        <row r="2">
          <cell r="FK2">
            <v>122.83740417157536</v>
          </cell>
          <cell r="FL2">
            <v>123.57832666666778</v>
          </cell>
          <cell r="FM2">
            <v>90.590052689393943</v>
          </cell>
          <cell r="FN2">
            <v>133.24438603339343</v>
          </cell>
          <cell r="FO2">
            <v>122.48281585622743</v>
          </cell>
        </row>
        <row r="12"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</row>
        <row r="64">
          <cell r="FK64">
            <v>1.0555440826667024</v>
          </cell>
          <cell r="FL64">
            <v>10.061394994053321</v>
          </cell>
          <cell r="FM64">
            <v>16.392868362842513</v>
          </cell>
          <cell r="FN64">
            <v>16.253466810764788</v>
          </cell>
          <cell r="FO64">
            <v>20.588025749672731</v>
          </cell>
        </row>
        <row r="135">
          <cell r="FK135">
            <v>1.0555440826667024</v>
          </cell>
          <cell r="FL135">
            <v>22.941286258874555</v>
          </cell>
          <cell r="FM135">
            <v>28.502182271981681</v>
          </cell>
          <cell r="FN135">
            <v>41.621900550440714</v>
          </cell>
          <cell r="FO135">
            <v>47.36413188889852</v>
          </cell>
        </row>
        <row r="197">
          <cell r="FK197">
            <v>1.0555440826667024</v>
          </cell>
          <cell r="FL197">
            <v>70.173187727092667</v>
          </cell>
          <cell r="FM197">
            <v>51.308568054155806</v>
          </cell>
          <cell r="FN197">
            <v>78.54836334106767</v>
          </cell>
          <cell r="FO197">
            <v>81.938181757525044</v>
          </cell>
        </row>
        <row r="248">
          <cell r="FK248">
            <v>1.0555440826667024</v>
          </cell>
          <cell r="FL248">
            <v>94.320858721072241</v>
          </cell>
          <cell r="FM248">
            <v>82.887025828438894</v>
          </cell>
          <cell r="FN248">
            <v>107.56134954698159</v>
          </cell>
          <cell r="FO248">
            <v>119.66676678334839</v>
          </cell>
        </row>
        <row r="315">
          <cell r="FK315">
            <v>1.0555440826667024</v>
          </cell>
          <cell r="FL315">
            <v>101.37972424791904</v>
          </cell>
          <cell r="FM315">
            <v>115.57549668719027</v>
          </cell>
          <cell r="FN315">
            <v>145.96443476032704</v>
          </cell>
          <cell r="FO315">
            <v>149.63834518440478</v>
          </cell>
        </row>
        <row r="326">
          <cell r="FK326">
            <v>1.0555440826667024</v>
          </cell>
          <cell r="FL326">
            <v>101.37972424791904</v>
          </cell>
          <cell r="FM326">
            <v>119.55728290445042</v>
          </cell>
          <cell r="FN326">
            <v>145.96443476032704</v>
          </cell>
          <cell r="FO326">
            <v>154.55265896714479</v>
          </cell>
        </row>
      </sheetData>
      <sheetData sheetId="1">
        <row r="1">
          <cell r="S1">
            <v>101.11</v>
          </cell>
        </row>
        <row r="12">
          <cell r="W12">
            <v>0</v>
          </cell>
        </row>
        <row r="29">
          <cell r="W29">
            <v>18.918200000000013</v>
          </cell>
        </row>
        <row r="61">
          <cell r="W61">
            <v>44.413100000000007</v>
          </cell>
        </row>
        <row r="92">
          <cell r="W92">
            <v>76.619150000000005</v>
          </cell>
        </row>
        <row r="134">
          <cell r="W134">
            <v>104.8211</v>
          </cell>
        </row>
        <row r="162">
          <cell r="W162">
            <v>122.69210000000001</v>
          </cell>
        </row>
      </sheetData>
      <sheetData sheetId="2">
        <row r="2">
          <cell r="AH2">
            <v>124.76</v>
          </cell>
        </row>
        <row r="12">
          <cell r="AH12">
            <v>0</v>
          </cell>
        </row>
        <row r="20">
          <cell r="AH20">
            <v>9.5260000000000389</v>
          </cell>
        </row>
        <row r="31">
          <cell r="AH31">
            <v>24.784000000000077</v>
          </cell>
        </row>
        <row r="62">
          <cell r="AH62">
            <v>83.457999999999998</v>
          </cell>
        </row>
        <row r="85">
          <cell r="AH85">
            <v>125.65400000000002</v>
          </cell>
        </row>
        <row r="104">
          <cell r="AH104">
            <v>158.08600000000004</v>
          </cell>
        </row>
      </sheetData>
      <sheetData sheetId="3">
        <row r="2">
          <cell r="Y2">
            <v>122</v>
          </cell>
        </row>
        <row r="13">
          <cell r="W13">
            <v>0</v>
          </cell>
        </row>
        <row r="21">
          <cell r="W21">
            <v>6.6500000000000909</v>
          </cell>
        </row>
        <row r="34">
          <cell r="W34">
            <v>19.722000000000094</v>
          </cell>
        </row>
        <row r="66">
          <cell r="W66">
            <v>81.588000000000079</v>
          </cell>
        </row>
        <row r="91">
          <cell r="W91">
            <v>122.92700000000002</v>
          </cell>
        </row>
        <row r="109">
          <cell r="W109">
            <v>144.55300000000011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da"/>
      <sheetName val="Brown"/>
      <sheetName val="AntholzE"/>
      <sheetName val="AntholzW"/>
      <sheetName val="AgSenselogs19"/>
    </sheetNames>
    <sheetDataSet>
      <sheetData sheetId="0">
        <row r="2">
          <cell r="FP2">
            <v>92.266061844303024</v>
          </cell>
          <cell r="FQ2">
            <v>102.79190315089393</v>
          </cell>
          <cell r="FR2">
            <v>90.590052689393943</v>
          </cell>
          <cell r="FS2">
            <v>101.22826398490909</v>
          </cell>
          <cell r="FT2">
            <v>91.878177464181832</v>
          </cell>
        </row>
        <row r="11"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</row>
        <row r="44">
          <cell r="FP44">
            <v>0.72343036883483469</v>
          </cell>
          <cell r="FQ44">
            <v>9.7239114781143208</v>
          </cell>
          <cell r="FR44">
            <v>5.1848810362923796</v>
          </cell>
          <cell r="FS44">
            <v>16.361249046768691</v>
          </cell>
          <cell r="FT44">
            <v>13.942594736656435</v>
          </cell>
        </row>
        <row r="99">
          <cell r="FP99">
            <v>34.283620730593107</v>
          </cell>
          <cell r="FQ99">
            <v>31.956349497752324</v>
          </cell>
          <cell r="FR99">
            <v>20.326669099888107</v>
          </cell>
          <cell r="FS99">
            <v>50.976355898381286</v>
          </cell>
          <cell r="FT99">
            <v>17.540704773385151</v>
          </cell>
        </row>
        <row r="162">
          <cell r="FP162">
            <v>56.679143487177861</v>
          </cell>
          <cell r="FQ162">
            <v>68.538451816507433</v>
          </cell>
          <cell r="FR162">
            <v>40.936192768336525</v>
          </cell>
          <cell r="FS162">
            <v>73.443585388154418</v>
          </cell>
          <cell r="FT162">
            <v>36.926393206490431</v>
          </cell>
        </row>
        <row r="194">
          <cell r="FP194">
            <v>74.7258057724693</v>
          </cell>
          <cell r="FQ194">
            <v>90.157754193900544</v>
          </cell>
          <cell r="FR194">
            <v>59.320273969544921</v>
          </cell>
          <cell r="FS194">
            <v>99.846190343695781</v>
          </cell>
          <cell r="FT194">
            <v>48.090275720389457</v>
          </cell>
        </row>
        <row r="243">
          <cell r="FP243">
            <v>90.336894146710108</v>
          </cell>
          <cell r="FQ243">
            <v>120.94545322023986</v>
          </cell>
          <cell r="FR243">
            <v>90.003738103071072</v>
          </cell>
          <cell r="FS243">
            <v>120.22100506454026</v>
          </cell>
          <cell r="FT243">
            <v>75.790976132105314</v>
          </cell>
        </row>
        <row r="251">
          <cell r="FP251">
            <v>93.607823734416954</v>
          </cell>
          <cell r="FQ251">
            <v>120.94545322023986</v>
          </cell>
          <cell r="FR251">
            <v>90.003738103071072</v>
          </cell>
          <cell r="FS251">
            <v>124.12705288641197</v>
          </cell>
          <cell r="FT251">
            <v>79.512432055860089</v>
          </cell>
        </row>
      </sheetData>
      <sheetData sheetId="1">
        <row r="1">
          <cell r="S1">
            <v>101.11</v>
          </cell>
        </row>
        <row r="12">
          <cell r="W12">
            <v>0</v>
          </cell>
        </row>
        <row r="29">
          <cell r="W29">
            <v>11.588499999999996</v>
          </cell>
        </row>
        <row r="47">
          <cell r="W47">
            <v>28.214299999999994</v>
          </cell>
        </row>
        <row r="71">
          <cell r="W71">
            <v>50.778599999999997</v>
          </cell>
        </row>
        <row r="103">
          <cell r="W103">
            <v>75.1554</v>
          </cell>
        </row>
        <row r="117">
          <cell r="W117">
            <v>84.656700000000001</v>
          </cell>
        </row>
      </sheetData>
      <sheetData sheetId="2">
        <row r="1">
          <cell r="AH1">
            <v>124.76</v>
          </cell>
        </row>
        <row r="13">
          <cell r="AH13">
            <v>0</v>
          </cell>
        </row>
        <row r="18">
          <cell r="AH18">
            <v>10.325999999999979</v>
          </cell>
        </row>
        <row r="28">
          <cell r="AH28">
            <v>30.241000000000014</v>
          </cell>
        </row>
        <row r="50">
          <cell r="AH50">
            <v>69.147999999999982</v>
          </cell>
        </row>
        <row r="67">
          <cell r="AH67">
            <v>103.55100000000002</v>
          </cell>
        </row>
        <row r="83">
          <cell r="AH83">
            <v>131.89500000000004</v>
          </cell>
        </row>
      </sheetData>
      <sheetData sheetId="3">
        <row r="2">
          <cell r="Y2">
            <v>122</v>
          </cell>
        </row>
        <row r="11">
          <cell r="W11">
            <v>0</v>
          </cell>
        </row>
        <row r="13">
          <cell r="W13">
            <v>4.4000000000004036E-2</v>
          </cell>
        </row>
        <row r="34">
          <cell r="W34">
            <v>37.33</v>
          </cell>
        </row>
        <row r="50">
          <cell r="W50">
            <v>69.881</v>
          </cell>
        </row>
        <row r="71">
          <cell r="W71">
            <v>105.547</v>
          </cell>
        </row>
      </sheetData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da"/>
      <sheetName val="Brown"/>
      <sheetName val="AntholzE"/>
      <sheetName val="AntholzW"/>
      <sheetName val="AgSenselogs20"/>
    </sheetNames>
    <sheetDataSet>
      <sheetData sheetId="0">
        <row r="2">
          <cell r="FP2">
            <v>92.266061844303024</v>
          </cell>
          <cell r="FQ2">
            <v>102.79190315089393</v>
          </cell>
          <cell r="FR2">
            <v>90.590052689393943</v>
          </cell>
          <cell r="FS2">
            <v>101.22826398490909</v>
          </cell>
          <cell r="FT2">
            <v>91.878177464181832</v>
          </cell>
        </row>
        <row r="11"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</row>
        <row r="44">
          <cell r="FP44">
            <v>15.951730626643956</v>
          </cell>
          <cell r="FQ44">
            <v>14.47429827572231</v>
          </cell>
          <cell r="FR44">
            <v>9.1497686552688027</v>
          </cell>
          <cell r="FS44">
            <v>19.308045243680247</v>
          </cell>
          <cell r="FT44">
            <v>6.2300571986847144</v>
          </cell>
        </row>
        <row r="116">
          <cell r="FP116">
            <v>38.094112938260501</v>
          </cell>
          <cell r="FQ116">
            <v>46.514911975799969</v>
          </cell>
          <cell r="FR116">
            <v>33.752246674145169</v>
          </cell>
          <cell r="FS116">
            <v>47.945160782788285</v>
          </cell>
          <cell r="FT116">
            <v>26.29373126536963</v>
          </cell>
        </row>
        <row r="180">
          <cell r="FP180">
            <v>58.425362837761533</v>
          </cell>
          <cell r="FQ180">
            <v>73.285245017168521</v>
          </cell>
          <cell r="FR180">
            <v>60.003688811589903</v>
          </cell>
          <cell r="FS180">
            <v>81.872260350510373</v>
          </cell>
          <cell r="FT180">
            <v>52.602442982969727</v>
          </cell>
        </row>
        <row r="248">
          <cell r="FP248">
            <v>98.382269362209485</v>
          </cell>
          <cell r="FQ248">
            <v>88.963238739309233</v>
          </cell>
          <cell r="FR248">
            <v>89.112877018646245</v>
          </cell>
          <cell r="FS248">
            <v>101.52316904220513</v>
          </cell>
          <cell r="FT248">
            <v>78.845245837629889</v>
          </cell>
        </row>
        <row r="297">
          <cell r="FP297">
            <v>118.03012678726081</v>
          </cell>
          <cell r="FQ297">
            <v>133.50367051719007</v>
          </cell>
          <cell r="FR297">
            <v>101.52774425933126</v>
          </cell>
          <cell r="FS297">
            <v>131.78901326427865</v>
          </cell>
          <cell r="FT297">
            <v>99.077878505272423</v>
          </cell>
        </row>
        <row r="319">
          <cell r="FP319">
            <v>137.32706600296137</v>
          </cell>
          <cell r="FQ319">
            <v>137.29769084955868</v>
          </cell>
          <cell r="FR319">
            <v>101.52774425933126</v>
          </cell>
          <cell r="FS319">
            <v>144.12622038287626</v>
          </cell>
          <cell r="FT319">
            <v>99.077878505272423</v>
          </cell>
        </row>
      </sheetData>
      <sheetData sheetId="1">
        <row r="1">
          <cell r="S1">
            <v>101.11</v>
          </cell>
        </row>
        <row r="11">
          <cell r="W11">
            <v>0</v>
          </cell>
        </row>
        <row r="28">
          <cell r="W28">
            <v>11.8249</v>
          </cell>
        </row>
        <row r="60">
          <cell r="W60">
            <v>41.931999999999995</v>
          </cell>
        </row>
        <row r="99">
          <cell r="W99">
            <v>76.558750000000003</v>
          </cell>
        </row>
        <row r="132">
          <cell r="W132">
            <v>111.75970000000001</v>
          </cell>
        </row>
        <row r="136">
          <cell r="W136">
            <v>113.63720000000001</v>
          </cell>
        </row>
      </sheetData>
      <sheetData sheetId="2">
        <row r="1">
          <cell r="AH1">
            <v>124.76</v>
          </cell>
        </row>
        <row r="11">
          <cell r="AH11">
            <v>0</v>
          </cell>
        </row>
        <row r="23">
          <cell r="AH23">
            <v>13.834999999999958</v>
          </cell>
        </row>
        <row r="57">
          <cell r="AH57">
            <v>72.897999999999968</v>
          </cell>
        </row>
        <row r="87">
          <cell r="AH87">
            <v>111.71799999999996</v>
          </cell>
        </row>
        <row r="105">
          <cell r="AH105">
            <v>146.20499999999996</v>
          </cell>
        </row>
      </sheetData>
      <sheetData sheetId="3">
        <row r="2">
          <cell r="Y2">
            <v>122</v>
          </cell>
        </row>
        <row r="12">
          <cell r="W12">
            <v>0</v>
          </cell>
        </row>
        <row r="23">
          <cell r="W23">
            <v>15.074666666666662</v>
          </cell>
        </row>
        <row r="50">
          <cell r="W50">
            <v>66.168000000000006</v>
          </cell>
        </row>
        <row r="76">
          <cell r="W76">
            <v>112.655</v>
          </cell>
        </row>
        <row r="103">
          <cell r="W103">
            <v>156.33500000000001</v>
          </cell>
        </row>
      </sheetData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own"/>
      <sheetName val="Ruda"/>
      <sheetName val="AntholzE"/>
      <sheetName val="AntholzW"/>
      <sheetName val="AgSenselogs21"/>
    </sheetNames>
    <sheetDataSet>
      <sheetData sheetId="0">
        <row r="1">
          <cell r="S1">
            <v>101.11</v>
          </cell>
        </row>
        <row r="14">
          <cell r="W14">
            <v>0</v>
          </cell>
        </row>
        <row r="30">
          <cell r="W30">
            <v>15.0916</v>
          </cell>
        </row>
        <row r="67">
          <cell r="W67">
            <v>46.285800000000002</v>
          </cell>
        </row>
        <row r="102">
          <cell r="W102">
            <v>77.143600000000006</v>
          </cell>
        </row>
        <row r="126">
          <cell r="W126">
            <v>95.128</v>
          </cell>
        </row>
      </sheetData>
      <sheetData sheetId="1">
        <row r="2">
          <cell r="FP2">
            <v>92.266061844303024</v>
          </cell>
          <cell r="FQ2">
            <v>102.79190315089393</v>
          </cell>
          <cell r="FR2">
            <v>90.590052689393943</v>
          </cell>
          <cell r="FS2">
            <v>101.22826398490909</v>
          </cell>
          <cell r="FT2">
            <v>91.878177464181832</v>
          </cell>
        </row>
        <row r="12"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</row>
        <row r="23">
          <cell r="FP23">
            <v>0</v>
          </cell>
          <cell r="FQ23">
            <v>2.5555552922864067</v>
          </cell>
          <cell r="FR23">
            <v>7.4973895495834303E-2</v>
          </cell>
          <cell r="FS23">
            <v>5.3922626895514885</v>
          </cell>
          <cell r="FT23">
            <v>2.996208122666264</v>
          </cell>
        </row>
        <row r="60">
          <cell r="FP60">
            <v>24.747096222854189</v>
          </cell>
          <cell r="FQ60">
            <v>14.59840357218507</v>
          </cell>
          <cell r="FR60">
            <v>11.428834260960938</v>
          </cell>
          <cell r="FS60">
            <v>21.174132560132669</v>
          </cell>
          <cell r="FT60">
            <v>19.122695883867067</v>
          </cell>
        </row>
        <row r="114">
          <cell r="FP114">
            <v>52.988395320923601</v>
          </cell>
          <cell r="FQ114">
            <v>48.99865368887577</v>
          </cell>
          <cell r="FR114">
            <v>28.252149086415354</v>
          </cell>
          <cell r="FS114">
            <v>55.303047179617849</v>
          </cell>
          <cell r="FT114">
            <v>48.142554724167333</v>
          </cell>
        </row>
        <row r="161">
          <cell r="FP161">
            <v>81.539578982242148</v>
          </cell>
          <cell r="FQ161">
            <v>82.487836760102496</v>
          </cell>
          <cell r="FR161">
            <v>51.538022860671902</v>
          </cell>
          <cell r="FS161">
            <v>82.021307000341253</v>
          </cell>
          <cell r="FT161">
            <v>65.134054396642156</v>
          </cell>
        </row>
        <row r="200">
          <cell r="FP200">
            <v>110.87970998346927</v>
          </cell>
          <cell r="FQ200">
            <v>95.788332131851959</v>
          </cell>
          <cell r="FR200">
            <v>67.529472866714201</v>
          </cell>
          <cell r="FS200">
            <v>126.55585981707966</v>
          </cell>
          <cell r="FT200">
            <v>72.874825200884928</v>
          </cell>
        </row>
        <row r="203">
          <cell r="FP203">
            <v>110.9567516828248</v>
          </cell>
          <cell r="FQ203">
            <v>95.788332131851959</v>
          </cell>
          <cell r="FR203">
            <v>67.529472866714201</v>
          </cell>
          <cell r="FS203">
            <v>126.63471811772411</v>
          </cell>
          <cell r="FT203">
            <v>72.874825200884928</v>
          </cell>
        </row>
      </sheetData>
      <sheetData sheetId="2">
        <row r="1">
          <cell r="AH1">
            <v>123.12</v>
          </cell>
        </row>
        <row r="11">
          <cell r="AH11">
            <v>0</v>
          </cell>
        </row>
        <row r="20">
          <cell r="AH20">
            <v>25.201000000000008</v>
          </cell>
        </row>
        <row r="27">
          <cell r="AH27">
            <v>41.809000000000026</v>
          </cell>
        </row>
        <row r="44">
          <cell r="AH44">
            <v>67.927000000000021</v>
          </cell>
        </row>
        <row r="74">
          <cell r="AH74">
            <v>133.53799999999998</v>
          </cell>
        </row>
        <row r="105">
          <cell r="AH105">
            <v>192.11999999999998</v>
          </cell>
        </row>
        <row r="122">
          <cell r="AH122">
            <v>225.56399999999999</v>
          </cell>
        </row>
      </sheetData>
      <sheetData sheetId="3">
        <row r="2">
          <cell r="Y2">
            <v>122</v>
          </cell>
        </row>
        <row r="11">
          <cell r="W11">
            <v>0</v>
          </cell>
        </row>
        <row r="22">
          <cell r="W22">
            <v>17.156000000000006</v>
          </cell>
        </row>
        <row r="51">
          <cell r="W51">
            <v>73.51400000000001</v>
          </cell>
        </row>
        <row r="82">
          <cell r="W82">
            <v>139.97399999999999</v>
          </cell>
        </row>
        <row r="97">
          <cell r="W97">
            <v>167.68599999999998</v>
          </cell>
        </row>
      </sheetData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own"/>
      <sheetName val="Ruda"/>
      <sheetName val="AntholzE"/>
      <sheetName val="AntholzW"/>
      <sheetName val="AgSenselogs22"/>
    </sheetNames>
    <sheetDataSet>
      <sheetData sheetId="0">
        <row r="1">
          <cell r="S1">
            <v>101.11</v>
          </cell>
        </row>
        <row r="12">
          <cell r="W12">
            <v>0</v>
          </cell>
        </row>
        <row r="31">
          <cell r="W31">
            <v>16.275599999999997</v>
          </cell>
        </row>
        <row r="45">
          <cell r="W45">
            <v>27.721699999999998</v>
          </cell>
        </row>
        <row r="77">
          <cell r="W77">
            <v>59.05865</v>
          </cell>
        </row>
        <row r="110">
          <cell r="W110">
            <v>93.958250000000007</v>
          </cell>
        </row>
        <row r="147">
          <cell r="W147">
            <v>124.77019999999999</v>
          </cell>
        </row>
        <row r="175">
          <cell r="W175">
            <v>150.47570000000002</v>
          </cell>
        </row>
      </sheetData>
      <sheetData sheetId="1">
        <row r="2">
          <cell r="FP2">
            <v>92.266061844303024</v>
          </cell>
          <cell r="FQ2">
            <v>102.79190315089393</v>
          </cell>
          <cell r="FR2">
            <v>90.590052689393943</v>
          </cell>
          <cell r="FS2">
            <v>101.22826398490909</v>
          </cell>
          <cell r="FT2">
            <v>91.878177464181832</v>
          </cell>
        </row>
        <row r="11"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</row>
        <row r="64">
          <cell r="FP64">
            <v>17.309635739344376</v>
          </cell>
          <cell r="FQ64">
            <v>15.765236905646384</v>
          </cell>
          <cell r="FR64">
            <v>27.75458456615997</v>
          </cell>
          <cell r="FS64">
            <v>24.740120218225591</v>
          </cell>
          <cell r="FT64">
            <v>26.764822570623668</v>
          </cell>
        </row>
        <row r="93">
          <cell r="FP93">
            <v>36.084358086122386</v>
          </cell>
          <cell r="FQ93">
            <v>36.407732507067422</v>
          </cell>
          <cell r="FR93">
            <v>40.038176358972969</v>
          </cell>
          <cell r="FS93">
            <v>24.740120218225591</v>
          </cell>
          <cell r="FT93">
            <v>49.741512829611743</v>
          </cell>
        </row>
        <row r="130">
          <cell r="FP130">
            <v>50.267319610048268</v>
          </cell>
          <cell r="FQ130">
            <v>72.070308066689194</v>
          </cell>
          <cell r="FR130">
            <v>80.280683746170268</v>
          </cell>
          <cell r="FS130">
            <v>57.431450740769463</v>
          </cell>
          <cell r="FT130">
            <v>59.97503783632299</v>
          </cell>
        </row>
        <row r="188">
          <cell r="FP188">
            <v>75.240688281704834</v>
          </cell>
          <cell r="FQ188">
            <v>100.93459270318621</v>
          </cell>
          <cell r="FR188">
            <v>107.39467641524436</v>
          </cell>
          <cell r="FS188">
            <v>76.442443117855589</v>
          </cell>
          <cell r="FT188">
            <v>79.173132815342427</v>
          </cell>
        </row>
        <row r="242">
          <cell r="FP242">
            <v>99.830227188506598</v>
          </cell>
          <cell r="FQ242">
            <v>134.62397278054189</v>
          </cell>
          <cell r="FR242">
            <v>127.01225580557899</v>
          </cell>
          <cell r="FS242">
            <v>102.05482482755515</v>
          </cell>
          <cell r="FT242">
            <v>97.573219397817326</v>
          </cell>
        </row>
        <row r="286">
          <cell r="FP286">
            <v>130.15619252543468</v>
          </cell>
          <cell r="FQ286">
            <v>154.24009014959785</v>
          </cell>
          <cell r="FR286">
            <v>131.08164271034082</v>
          </cell>
          <cell r="FS286">
            <v>117.33753072285997</v>
          </cell>
          <cell r="FT286">
            <v>117.56400579652866</v>
          </cell>
        </row>
        <row r="300">
          <cell r="FP300">
            <v>130.15619252543468</v>
          </cell>
          <cell r="FQ300">
            <v>154.24009014959785</v>
          </cell>
          <cell r="FR300">
            <v>152.57708080557893</v>
          </cell>
          <cell r="FS300">
            <v>117.33753072285997</v>
          </cell>
          <cell r="FT300">
            <v>117.56400579652866</v>
          </cell>
        </row>
      </sheetData>
      <sheetData sheetId="2">
        <row r="1">
          <cell r="AH1">
            <v>123.12</v>
          </cell>
        </row>
        <row r="10">
          <cell r="AH10">
            <v>0</v>
          </cell>
        </row>
        <row r="19">
          <cell r="AH19">
            <v>15.294999999999987</v>
          </cell>
        </row>
        <row r="46">
          <cell r="AH46">
            <v>64.203000000000031</v>
          </cell>
        </row>
        <row r="68">
          <cell r="AH68">
            <v>101.91299999999995</v>
          </cell>
        </row>
        <row r="98">
          <cell r="AH98">
            <v>158.96399999999994</v>
          </cell>
        </row>
        <row r="128">
          <cell r="AH128">
            <v>211.10399999999998</v>
          </cell>
        </row>
        <row r="159">
          <cell r="AH159">
            <v>287.93099999999993</v>
          </cell>
        </row>
        <row r="183">
          <cell r="AH183">
            <v>339.91900000000004</v>
          </cell>
        </row>
      </sheetData>
      <sheetData sheetId="3">
        <row r="2">
          <cell r="Y2">
            <v>122</v>
          </cell>
        </row>
        <row r="11">
          <cell r="W11">
            <v>0</v>
          </cell>
        </row>
        <row r="20">
          <cell r="W20">
            <v>14.136000000000024</v>
          </cell>
        </row>
        <row r="23">
          <cell r="W23">
            <v>18.766999999999996</v>
          </cell>
        </row>
        <row r="54">
          <cell r="W54">
            <v>89.323500000000024</v>
          </cell>
        </row>
        <row r="85">
          <cell r="W85">
            <v>155.57299999999998</v>
          </cell>
        </row>
        <row r="109">
          <cell r="W109">
            <v>203.90199999999999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zoomScale="130" zoomScaleNormal="130" workbookViewId="0">
      <selection activeCell="B8" sqref="B8"/>
    </sheetView>
  </sheetViews>
  <sheetFormatPr baseColWidth="10" defaultColWidth="8.83203125" defaultRowHeight="15" x14ac:dyDescent="0.2"/>
  <cols>
    <col min="1" max="1" width="13.33203125" bestFit="1" customWidth="1"/>
    <col min="3" max="3" width="10.6640625" bestFit="1" customWidth="1"/>
    <col min="4" max="4" width="12.33203125" bestFit="1" customWidth="1"/>
  </cols>
  <sheetData>
    <row r="1" spans="1:5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20</v>
      </c>
      <c r="C2" t="s">
        <v>10</v>
      </c>
      <c r="D2" t="s">
        <v>11</v>
      </c>
      <c r="E2" t="s">
        <v>59</v>
      </c>
    </row>
    <row r="3" spans="1:5" x14ac:dyDescent="0.2">
      <c r="A3" t="s">
        <v>7</v>
      </c>
      <c r="B3" t="s">
        <v>21</v>
      </c>
      <c r="C3" t="s">
        <v>12</v>
      </c>
      <c r="D3" t="s">
        <v>13</v>
      </c>
      <c r="E3" t="s">
        <v>60</v>
      </c>
    </row>
    <row r="4" spans="1:5" x14ac:dyDescent="0.2">
      <c r="A4" t="s">
        <v>5</v>
      </c>
      <c r="B4" t="s">
        <v>22</v>
      </c>
      <c r="C4" s="2" t="s">
        <v>14</v>
      </c>
      <c r="D4" s="2" t="s">
        <v>15</v>
      </c>
      <c r="E4" t="s">
        <v>61</v>
      </c>
    </row>
    <row r="5" spans="1:5" x14ac:dyDescent="0.2">
      <c r="A5" t="s">
        <v>8</v>
      </c>
      <c r="B5" t="s">
        <v>23</v>
      </c>
      <c r="C5" t="s">
        <v>16</v>
      </c>
      <c r="D5" t="s">
        <v>17</v>
      </c>
      <c r="E5" t="s">
        <v>62</v>
      </c>
    </row>
    <row r="6" spans="1:5" x14ac:dyDescent="0.2">
      <c r="A6" t="s">
        <v>9</v>
      </c>
      <c r="B6" t="s">
        <v>24</v>
      </c>
      <c r="C6" t="s">
        <v>18</v>
      </c>
      <c r="D6" t="s">
        <v>19</v>
      </c>
      <c r="E6" t="s">
        <v>63</v>
      </c>
    </row>
    <row r="7" spans="1:5" x14ac:dyDescent="0.2">
      <c r="A7" t="s">
        <v>25</v>
      </c>
      <c r="B7" t="s">
        <v>27</v>
      </c>
      <c r="C7" t="s">
        <v>28</v>
      </c>
      <c r="D7" t="s">
        <v>29</v>
      </c>
      <c r="E7" t="s">
        <v>26</v>
      </c>
    </row>
    <row r="8" spans="1:5" x14ac:dyDescent="0.2">
      <c r="A8" t="s">
        <v>30</v>
      </c>
      <c r="B8" t="s">
        <v>32</v>
      </c>
      <c r="C8" s="3">
        <v>39.839760220846998</v>
      </c>
      <c r="D8" s="3">
        <v>-101.395996470908</v>
      </c>
      <c r="E8" t="s">
        <v>65</v>
      </c>
    </row>
    <row r="9" spans="1:5" x14ac:dyDescent="0.2">
      <c r="A9" t="s">
        <v>31</v>
      </c>
      <c r="B9" t="s">
        <v>33</v>
      </c>
      <c r="C9">
        <v>39.840294006083703</v>
      </c>
      <c r="D9">
        <v>-101.40518475683299</v>
      </c>
      <c r="E9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BFF2-00B7-4688-9C6E-CF79116A8E0D}">
  <dimension ref="A1:H131"/>
  <sheetViews>
    <sheetView topLeftCell="A111" zoomScale="133" zoomScaleNormal="150" workbookViewId="0">
      <selection activeCell="E129" sqref="E129"/>
    </sheetView>
  </sheetViews>
  <sheetFormatPr baseColWidth="10" defaultColWidth="8.83203125" defaultRowHeight="15" x14ac:dyDescent="0.2"/>
  <cols>
    <col min="1" max="1" width="13.33203125" bestFit="1" customWidth="1"/>
    <col min="3" max="3" width="14" customWidth="1"/>
    <col min="4" max="4" width="18.83203125" customWidth="1"/>
    <col min="5" max="5" width="14" customWidth="1"/>
    <col min="6" max="6" width="11.83203125" customWidth="1"/>
  </cols>
  <sheetData>
    <row r="1" spans="1:8" x14ac:dyDescent="0.2">
      <c r="A1" s="1" t="s">
        <v>1</v>
      </c>
      <c r="B1" s="1" t="s">
        <v>34</v>
      </c>
      <c r="C1" s="1" t="s">
        <v>35</v>
      </c>
      <c r="D1" s="1" t="s">
        <v>36</v>
      </c>
      <c r="E1" s="1" t="s">
        <v>38</v>
      </c>
      <c r="F1" s="1" t="s">
        <v>37</v>
      </c>
      <c r="G1" s="1" t="s">
        <v>42</v>
      </c>
      <c r="H1" s="1" t="s">
        <v>4</v>
      </c>
    </row>
    <row r="2" spans="1:8" x14ac:dyDescent="0.2">
      <c r="A2" t="s">
        <v>30</v>
      </c>
      <c r="B2">
        <v>2008</v>
      </c>
      <c r="C2" t="s">
        <v>39</v>
      </c>
      <c r="D2" t="s">
        <v>39</v>
      </c>
      <c r="E2" t="s">
        <v>39</v>
      </c>
      <c r="F2" t="s">
        <v>40</v>
      </c>
      <c r="G2">
        <v>1</v>
      </c>
      <c r="H2" t="s">
        <v>50</v>
      </c>
    </row>
    <row r="3" spans="1:8" x14ac:dyDescent="0.2">
      <c r="A3" t="s">
        <v>30</v>
      </c>
      <c r="B3">
        <v>2009</v>
      </c>
      <c r="C3" t="s">
        <v>39</v>
      </c>
      <c r="D3" t="s">
        <v>39</v>
      </c>
      <c r="E3" t="s">
        <v>39</v>
      </c>
      <c r="F3" t="s">
        <v>52</v>
      </c>
      <c r="G3">
        <v>1</v>
      </c>
      <c r="H3" t="s">
        <v>51</v>
      </c>
    </row>
    <row r="4" spans="1:8" x14ac:dyDescent="0.2">
      <c r="A4" t="s">
        <v>30</v>
      </c>
      <c r="B4">
        <v>2010</v>
      </c>
      <c r="C4" t="s">
        <v>39</v>
      </c>
      <c r="D4" t="s">
        <v>39</v>
      </c>
      <c r="E4" t="s">
        <v>39</v>
      </c>
      <c r="F4" t="s">
        <v>52</v>
      </c>
      <c r="G4">
        <v>1</v>
      </c>
      <c r="H4" t="s">
        <v>51</v>
      </c>
    </row>
    <row r="5" spans="1:8" x14ac:dyDescent="0.2">
      <c r="A5" t="s">
        <v>30</v>
      </c>
      <c r="B5">
        <v>2011</v>
      </c>
      <c r="C5">
        <v>195.91</v>
      </c>
      <c r="D5">
        <v>124.76</v>
      </c>
      <c r="E5">
        <v>16.38</v>
      </c>
      <c r="F5" t="s">
        <v>40</v>
      </c>
      <c r="G5">
        <v>1</v>
      </c>
      <c r="H5" t="s">
        <v>48</v>
      </c>
    </row>
    <row r="6" spans="1:8" x14ac:dyDescent="0.2">
      <c r="A6" t="s">
        <v>30</v>
      </c>
      <c r="B6">
        <v>2012</v>
      </c>
      <c r="C6">
        <v>178.32</v>
      </c>
      <c r="D6">
        <v>124.75</v>
      </c>
      <c r="E6">
        <v>21.09</v>
      </c>
      <c r="F6" t="s">
        <v>40</v>
      </c>
      <c r="G6">
        <v>1</v>
      </c>
      <c r="H6" t="s">
        <v>48</v>
      </c>
    </row>
    <row r="7" spans="1:8" x14ac:dyDescent="0.2">
      <c r="A7" t="s">
        <v>30</v>
      </c>
      <c r="B7">
        <v>2013</v>
      </c>
      <c r="C7" t="s">
        <v>39</v>
      </c>
      <c r="D7" t="s">
        <v>39</v>
      </c>
      <c r="E7" t="s">
        <v>39</v>
      </c>
      <c r="F7" t="s">
        <v>45</v>
      </c>
      <c r="G7">
        <v>1</v>
      </c>
      <c r="H7" t="s">
        <v>55</v>
      </c>
    </row>
    <row r="8" spans="1:8" x14ac:dyDescent="0.2">
      <c r="A8" t="s">
        <v>30</v>
      </c>
      <c r="B8">
        <v>2014</v>
      </c>
      <c r="C8" t="s">
        <v>39</v>
      </c>
      <c r="D8" t="s">
        <v>39</v>
      </c>
      <c r="E8" t="s">
        <v>39</v>
      </c>
      <c r="F8" t="s">
        <v>39</v>
      </c>
      <c r="G8" t="s">
        <v>39</v>
      </c>
      <c r="H8" t="s">
        <v>54</v>
      </c>
    </row>
    <row r="9" spans="1:8" x14ac:dyDescent="0.2">
      <c r="A9" t="s">
        <v>30</v>
      </c>
      <c r="B9">
        <v>2015</v>
      </c>
      <c r="C9" t="s">
        <v>39</v>
      </c>
      <c r="D9" t="s">
        <v>39</v>
      </c>
      <c r="E9" t="s">
        <v>39</v>
      </c>
      <c r="F9" t="s">
        <v>39</v>
      </c>
      <c r="G9" t="s">
        <v>39</v>
      </c>
      <c r="H9" t="s">
        <v>54</v>
      </c>
    </row>
    <row r="10" spans="1:8" x14ac:dyDescent="0.2">
      <c r="A10" t="s">
        <v>30</v>
      </c>
      <c r="B10">
        <v>2016</v>
      </c>
      <c r="C10" t="s">
        <v>39</v>
      </c>
      <c r="D10" t="s">
        <v>39</v>
      </c>
      <c r="E10" t="s">
        <v>39</v>
      </c>
      <c r="F10" t="s">
        <v>40</v>
      </c>
      <c r="G10">
        <v>1</v>
      </c>
      <c r="H10" t="s">
        <v>50</v>
      </c>
    </row>
    <row r="11" spans="1:8" x14ac:dyDescent="0.2">
      <c r="A11" t="s">
        <v>30</v>
      </c>
      <c r="B11">
        <v>2017</v>
      </c>
      <c r="C11" t="s">
        <v>39</v>
      </c>
      <c r="D11" t="s">
        <v>39</v>
      </c>
      <c r="E11" t="s">
        <v>39</v>
      </c>
      <c r="F11" t="s">
        <v>40</v>
      </c>
      <c r="G11">
        <v>1</v>
      </c>
      <c r="H11" t="s">
        <v>50</v>
      </c>
    </row>
    <row r="12" spans="1:8" x14ac:dyDescent="0.2">
      <c r="A12" t="s">
        <v>30</v>
      </c>
      <c r="B12">
        <v>2018</v>
      </c>
      <c r="C12">
        <v>250.91</v>
      </c>
      <c r="D12">
        <v>124.76</v>
      </c>
      <c r="E12">
        <v>15.21</v>
      </c>
      <c r="F12" t="s">
        <v>40</v>
      </c>
      <c r="G12">
        <v>1</v>
      </c>
      <c r="H12" t="s">
        <v>48</v>
      </c>
    </row>
    <row r="13" spans="1:8" x14ac:dyDescent="0.2">
      <c r="A13" t="s">
        <v>30</v>
      </c>
      <c r="B13">
        <v>2019</v>
      </c>
      <c r="C13">
        <v>141.59</v>
      </c>
      <c r="D13">
        <v>124.76</v>
      </c>
      <c r="E13">
        <v>9.7799999999999994</v>
      </c>
      <c r="F13" t="s">
        <v>40</v>
      </c>
      <c r="G13">
        <v>1</v>
      </c>
      <c r="H13" t="s">
        <v>48</v>
      </c>
    </row>
    <row r="14" spans="1:8" x14ac:dyDescent="0.2">
      <c r="A14" t="s">
        <v>30</v>
      </c>
      <c r="B14">
        <v>2020</v>
      </c>
      <c r="C14" t="s">
        <v>39</v>
      </c>
      <c r="D14" t="s">
        <v>39</v>
      </c>
      <c r="E14" t="s">
        <v>39</v>
      </c>
      <c r="F14" t="s">
        <v>46</v>
      </c>
      <c r="G14">
        <v>0</v>
      </c>
      <c r="H14" t="s">
        <v>47</v>
      </c>
    </row>
    <row r="15" spans="1:8" x14ac:dyDescent="0.2">
      <c r="A15" t="s">
        <v>30</v>
      </c>
      <c r="B15">
        <v>2021</v>
      </c>
      <c r="C15" t="s">
        <v>44</v>
      </c>
      <c r="D15" t="s">
        <v>39</v>
      </c>
      <c r="E15" t="s">
        <v>39</v>
      </c>
      <c r="F15" t="s">
        <v>45</v>
      </c>
      <c r="G15">
        <v>1</v>
      </c>
      <c r="H15" t="s">
        <v>49</v>
      </c>
    </row>
    <row r="16" spans="1:8" x14ac:dyDescent="0.2">
      <c r="A16" t="s">
        <v>30</v>
      </c>
      <c r="B16">
        <v>2022</v>
      </c>
      <c r="C16">
        <v>246.63</v>
      </c>
      <c r="D16">
        <v>124.76</v>
      </c>
      <c r="E16">
        <v>19.45</v>
      </c>
      <c r="F16" t="s">
        <v>40</v>
      </c>
      <c r="G16">
        <v>1</v>
      </c>
      <c r="H16" t="s">
        <v>48</v>
      </c>
    </row>
    <row r="17" spans="1:8" x14ac:dyDescent="0.2">
      <c r="A17" t="s">
        <v>31</v>
      </c>
      <c r="B17">
        <v>2008</v>
      </c>
      <c r="C17">
        <v>156.85</v>
      </c>
      <c r="D17">
        <v>123.12</v>
      </c>
      <c r="E17">
        <v>14.49</v>
      </c>
      <c r="F17" t="s">
        <v>40</v>
      </c>
      <c r="G17">
        <v>1</v>
      </c>
      <c r="H17" t="s">
        <v>48</v>
      </c>
    </row>
    <row r="18" spans="1:8" x14ac:dyDescent="0.2">
      <c r="A18" t="s">
        <v>31</v>
      </c>
      <c r="B18">
        <v>2009</v>
      </c>
      <c r="C18">
        <v>149.71</v>
      </c>
      <c r="D18">
        <v>123.12</v>
      </c>
      <c r="E18">
        <v>13.28</v>
      </c>
      <c r="F18" t="s">
        <v>40</v>
      </c>
      <c r="G18">
        <v>1</v>
      </c>
      <c r="H18" t="s">
        <v>48</v>
      </c>
    </row>
    <row r="19" spans="1:8" x14ac:dyDescent="0.2">
      <c r="A19" t="s">
        <v>31</v>
      </c>
      <c r="B19">
        <v>2010</v>
      </c>
      <c r="C19">
        <v>179.66</v>
      </c>
      <c r="D19">
        <v>123.12</v>
      </c>
      <c r="E19">
        <v>13.6</v>
      </c>
      <c r="F19" t="s">
        <v>40</v>
      </c>
      <c r="G19">
        <v>1</v>
      </c>
      <c r="H19" t="s">
        <v>48</v>
      </c>
    </row>
    <row r="20" spans="1:8" x14ac:dyDescent="0.2">
      <c r="A20" t="s">
        <v>31</v>
      </c>
      <c r="B20">
        <v>2011</v>
      </c>
      <c r="C20" t="s">
        <v>39</v>
      </c>
      <c r="D20" t="s">
        <v>39</v>
      </c>
      <c r="E20" t="s">
        <v>39</v>
      </c>
      <c r="F20" t="s">
        <v>39</v>
      </c>
      <c r="G20" t="s">
        <v>39</v>
      </c>
      <c r="H20" t="s">
        <v>53</v>
      </c>
    </row>
    <row r="21" spans="1:8" x14ac:dyDescent="0.2">
      <c r="A21" t="s">
        <v>31</v>
      </c>
      <c r="B21">
        <v>2012</v>
      </c>
      <c r="C21" t="s">
        <v>39</v>
      </c>
      <c r="D21" t="s">
        <v>39</v>
      </c>
      <c r="E21" t="s">
        <v>39</v>
      </c>
      <c r="F21" t="s">
        <v>40</v>
      </c>
      <c r="G21">
        <v>1</v>
      </c>
      <c r="H21" t="s">
        <v>50</v>
      </c>
    </row>
    <row r="22" spans="1:8" x14ac:dyDescent="0.2">
      <c r="A22" t="s">
        <v>31</v>
      </c>
      <c r="B22">
        <v>2013</v>
      </c>
      <c r="C22">
        <v>217.77</v>
      </c>
      <c r="D22">
        <v>123.12</v>
      </c>
      <c r="E22">
        <v>20.57</v>
      </c>
      <c r="F22" t="s">
        <v>40</v>
      </c>
      <c r="G22">
        <v>1</v>
      </c>
      <c r="H22" t="s">
        <v>48</v>
      </c>
    </row>
    <row r="23" spans="1:8" x14ac:dyDescent="0.2">
      <c r="A23" t="s">
        <v>31</v>
      </c>
      <c r="B23">
        <v>2014</v>
      </c>
      <c r="C23" t="s">
        <v>39</v>
      </c>
      <c r="D23" t="s">
        <v>39</v>
      </c>
      <c r="E23" t="s">
        <v>39</v>
      </c>
      <c r="F23" t="s">
        <v>40</v>
      </c>
      <c r="G23">
        <v>1</v>
      </c>
      <c r="H23" t="s">
        <v>50</v>
      </c>
    </row>
    <row r="24" spans="1:8" x14ac:dyDescent="0.2">
      <c r="A24" t="s">
        <v>31</v>
      </c>
      <c r="B24">
        <v>2015</v>
      </c>
      <c r="C24" t="s">
        <v>39</v>
      </c>
      <c r="D24" t="s">
        <v>39</v>
      </c>
      <c r="E24" t="s">
        <v>39</v>
      </c>
      <c r="F24" t="s">
        <v>52</v>
      </c>
      <c r="G24">
        <v>1</v>
      </c>
      <c r="H24" t="s">
        <v>51</v>
      </c>
    </row>
    <row r="25" spans="1:8" x14ac:dyDescent="0.2">
      <c r="A25" t="s">
        <v>31</v>
      </c>
      <c r="B25">
        <v>2016</v>
      </c>
      <c r="C25" t="s">
        <v>39</v>
      </c>
      <c r="D25" t="s">
        <v>39</v>
      </c>
      <c r="E25" t="s">
        <v>39</v>
      </c>
      <c r="F25" t="s">
        <v>40</v>
      </c>
      <c r="G25">
        <v>1</v>
      </c>
      <c r="H25" t="s">
        <v>50</v>
      </c>
    </row>
    <row r="26" spans="1:8" x14ac:dyDescent="0.2">
      <c r="A26" t="s">
        <v>31</v>
      </c>
      <c r="B26">
        <v>2017</v>
      </c>
      <c r="C26" t="s">
        <v>39</v>
      </c>
      <c r="D26" t="s">
        <v>39</v>
      </c>
      <c r="E26" t="s">
        <v>39</v>
      </c>
      <c r="F26" t="s">
        <v>40</v>
      </c>
      <c r="G26">
        <v>1</v>
      </c>
      <c r="H26" t="s">
        <v>50</v>
      </c>
    </row>
    <row r="27" spans="1:8" x14ac:dyDescent="0.2">
      <c r="A27" t="s">
        <v>31</v>
      </c>
      <c r="B27">
        <v>2018</v>
      </c>
      <c r="C27" t="s">
        <v>39</v>
      </c>
      <c r="D27" t="s">
        <v>39</v>
      </c>
      <c r="E27" t="s">
        <v>39</v>
      </c>
      <c r="F27" t="s">
        <v>46</v>
      </c>
      <c r="G27">
        <v>0</v>
      </c>
      <c r="H27" t="s">
        <v>47</v>
      </c>
    </row>
    <row r="28" spans="1:8" x14ac:dyDescent="0.2">
      <c r="A28" t="s">
        <v>31</v>
      </c>
      <c r="B28">
        <v>2019</v>
      </c>
      <c r="C28" t="s">
        <v>39</v>
      </c>
      <c r="D28" t="s">
        <v>39</v>
      </c>
      <c r="E28" t="s">
        <v>39</v>
      </c>
      <c r="F28" t="s">
        <v>45</v>
      </c>
      <c r="G28">
        <v>1</v>
      </c>
      <c r="H28" t="s">
        <v>49</v>
      </c>
    </row>
    <row r="29" spans="1:8" x14ac:dyDescent="0.2">
      <c r="A29" t="s">
        <v>31</v>
      </c>
      <c r="B29">
        <v>2020</v>
      </c>
      <c r="C29">
        <v>218.48</v>
      </c>
      <c r="D29">
        <v>123.12</v>
      </c>
      <c r="E29">
        <v>14.06</v>
      </c>
      <c r="F29" t="s">
        <v>40</v>
      </c>
      <c r="G29">
        <v>1</v>
      </c>
      <c r="H29" t="s">
        <v>48</v>
      </c>
    </row>
    <row r="30" spans="1:8" x14ac:dyDescent="0.2">
      <c r="A30" t="s">
        <v>31</v>
      </c>
      <c r="B30">
        <v>2021</v>
      </c>
      <c r="C30">
        <v>246.35</v>
      </c>
      <c r="D30">
        <v>123.12</v>
      </c>
      <c r="E30">
        <v>19.239999999999998</v>
      </c>
      <c r="F30" t="s">
        <v>40</v>
      </c>
      <c r="G30">
        <v>1</v>
      </c>
      <c r="H30" t="s">
        <v>48</v>
      </c>
    </row>
    <row r="31" spans="1:8" x14ac:dyDescent="0.2">
      <c r="A31" t="s">
        <v>31</v>
      </c>
      <c r="B31">
        <v>2022</v>
      </c>
      <c r="C31" t="s">
        <v>39</v>
      </c>
      <c r="D31" t="s">
        <v>39</v>
      </c>
      <c r="E31" t="s">
        <v>39</v>
      </c>
      <c r="F31" t="s">
        <v>40</v>
      </c>
      <c r="G31">
        <v>1</v>
      </c>
      <c r="H31" t="s">
        <v>50</v>
      </c>
    </row>
    <row r="32" spans="1:8" x14ac:dyDescent="0.2">
      <c r="A32" t="s">
        <v>25</v>
      </c>
      <c r="B32">
        <v>2007</v>
      </c>
      <c r="C32">
        <v>135.34</v>
      </c>
      <c r="D32">
        <v>53.55</v>
      </c>
      <c r="E32" t="s">
        <v>39</v>
      </c>
      <c r="F32" t="s">
        <v>43</v>
      </c>
      <c r="G32">
        <v>2</v>
      </c>
      <c r="H32" t="s">
        <v>41</v>
      </c>
    </row>
    <row r="33" spans="1:8" x14ac:dyDescent="0.2">
      <c r="A33" t="s">
        <v>25</v>
      </c>
      <c r="B33">
        <v>2008</v>
      </c>
      <c r="C33">
        <v>130.80000000000001</v>
      </c>
      <c r="D33">
        <v>53.55</v>
      </c>
      <c r="E33">
        <v>8.5</v>
      </c>
      <c r="F33" t="s">
        <v>43</v>
      </c>
      <c r="G33">
        <v>2</v>
      </c>
      <c r="H33" t="s">
        <v>41</v>
      </c>
    </row>
    <row r="34" spans="1:8" x14ac:dyDescent="0.2">
      <c r="A34" t="s">
        <v>25</v>
      </c>
      <c r="B34">
        <v>2009</v>
      </c>
      <c r="C34">
        <v>106.14</v>
      </c>
      <c r="D34">
        <v>53.55</v>
      </c>
      <c r="E34">
        <v>8</v>
      </c>
      <c r="F34" t="s">
        <v>43</v>
      </c>
      <c r="G34">
        <v>2</v>
      </c>
      <c r="H34" t="s">
        <v>41</v>
      </c>
    </row>
    <row r="35" spans="1:8" x14ac:dyDescent="0.2">
      <c r="A35" t="s">
        <v>25</v>
      </c>
      <c r="B35">
        <v>2010</v>
      </c>
      <c r="C35">
        <v>156.1</v>
      </c>
      <c r="D35">
        <v>53.55</v>
      </c>
      <c r="E35">
        <v>4</v>
      </c>
      <c r="F35" t="s">
        <v>43</v>
      </c>
      <c r="G35">
        <v>2</v>
      </c>
      <c r="H35" t="s">
        <v>41</v>
      </c>
    </row>
    <row r="36" spans="1:8" x14ac:dyDescent="0.2">
      <c r="A36" t="s">
        <v>25</v>
      </c>
      <c r="B36">
        <v>2011</v>
      </c>
      <c r="C36">
        <v>155.11000000000001</v>
      </c>
      <c r="D36">
        <v>101.11</v>
      </c>
      <c r="E36">
        <v>14.44</v>
      </c>
      <c r="F36" t="s">
        <v>40</v>
      </c>
      <c r="G36">
        <v>1</v>
      </c>
      <c r="H36" t="s">
        <v>48</v>
      </c>
    </row>
    <row r="37" spans="1:8" x14ac:dyDescent="0.2">
      <c r="A37" t="s">
        <v>25</v>
      </c>
      <c r="B37">
        <v>2012</v>
      </c>
      <c r="C37">
        <v>95.98</v>
      </c>
      <c r="D37">
        <v>101.11</v>
      </c>
      <c r="E37">
        <v>12.07</v>
      </c>
      <c r="F37" t="s">
        <v>40</v>
      </c>
      <c r="G37">
        <v>1</v>
      </c>
      <c r="H37" t="s">
        <v>48</v>
      </c>
    </row>
    <row r="38" spans="1:8" x14ac:dyDescent="0.2">
      <c r="A38" t="s">
        <v>25</v>
      </c>
      <c r="B38">
        <v>2013</v>
      </c>
      <c r="C38">
        <v>131.06</v>
      </c>
      <c r="D38">
        <v>101.11</v>
      </c>
      <c r="E38">
        <v>12.24</v>
      </c>
      <c r="F38" t="s">
        <v>40</v>
      </c>
      <c r="G38">
        <v>1</v>
      </c>
      <c r="H38" t="s">
        <v>48</v>
      </c>
    </row>
    <row r="39" spans="1:8" x14ac:dyDescent="0.2">
      <c r="A39" t="s">
        <v>25</v>
      </c>
      <c r="B39">
        <v>2014</v>
      </c>
      <c r="C39">
        <v>184.83</v>
      </c>
      <c r="D39">
        <v>101.11</v>
      </c>
      <c r="E39">
        <v>14.29</v>
      </c>
      <c r="F39" t="s">
        <v>40</v>
      </c>
      <c r="G39">
        <v>1</v>
      </c>
      <c r="H39" t="s">
        <v>48</v>
      </c>
    </row>
    <row r="40" spans="1:8" x14ac:dyDescent="0.2">
      <c r="A40" t="s">
        <v>25</v>
      </c>
      <c r="B40">
        <v>2015</v>
      </c>
      <c r="C40">
        <v>187.13</v>
      </c>
      <c r="D40">
        <v>101.11</v>
      </c>
      <c r="E40">
        <v>13.44</v>
      </c>
      <c r="F40" t="s">
        <v>40</v>
      </c>
      <c r="G40">
        <v>1</v>
      </c>
      <c r="H40" t="s">
        <v>48</v>
      </c>
    </row>
    <row r="41" spans="1:8" x14ac:dyDescent="0.2">
      <c r="A41" t="s">
        <v>25</v>
      </c>
      <c r="B41">
        <v>2016</v>
      </c>
      <c r="C41">
        <v>184.81</v>
      </c>
      <c r="D41">
        <v>101.11</v>
      </c>
      <c r="E41">
        <v>14.07</v>
      </c>
      <c r="F41" t="s">
        <v>40</v>
      </c>
      <c r="G41">
        <v>1</v>
      </c>
      <c r="H41" t="s">
        <v>48</v>
      </c>
    </row>
    <row r="42" spans="1:8" x14ac:dyDescent="0.2">
      <c r="A42" t="s">
        <v>25</v>
      </c>
      <c r="B42">
        <v>2017</v>
      </c>
      <c r="C42">
        <v>151.44</v>
      </c>
      <c r="D42">
        <v>101.11</v>
      </c>
      <c r="E42">
        <v>9.98</v>
      </c>
      <c r="F42" t="s">
        <v>40</v>
      </c>
      <c r="G42">
        <v>1</v>
      </c>
      <c r="H42" t="s">
        <v>48</v>
      </c>
    </row>
    <row r="43" spans="1:8" x14ac:dyDescent="0.2">
      <c r="A43" t="s">
        <v>25</v>
      </c>
      <c r="B43">
        <v>2018</v>
      </c>
      <c r="C43">
        <v>194.81</v>
      </c>
      <c r="D43">
        <v>101.11</v>
      </c>
      <c r="E43">
        <v>16.149999999999999</v>
      </c>
      <c r="F43" t="s">
        <v>40</v>
      </c>
      <c r="G43">
        <v>1</v>
      </c>
      <c r="H43" t="s">
        <v>48</v>
      </c>
    </row>
    <row r="44" spans="1:8" x14ac:dyDescent="0.2">
      <c r="A44" t="s">
        <v>25</v>
      </c>
      <c r="B44">
        <v>2019</v>
      </c>
      <c r="C44">
        <v>149.83000000000001</v>
      </c>
      <c r="D44">
        <v>101.11</v>
      </c>
      <c r="E44">
        <v>10.65</v>
      </c>
      <c r="F44" t="s">
        <v>40</v>
      </c>
      <c r="G44">
        <v>1</v>
      </c>
      <c r="H44" t="s">
        <v>48</v>
      </c>
    </row>
    <row r="45" spans="1:8" x14ac:dyDescent="0.2">
      <c r="A45" t="s">
        <v>25</v>
      </c>
      <c r="B45">
        <v>2020</v>
      </c>
      <c r="C45">
        <v>121.51</v>
      </c>
      <c r="D45">
        <v>101.11</v>
      </c>
      <c r="E45">
        <v>13.49</v>
      </c>
      <c r="F45" t="s">
        <v>40</v>
      </c>
      <c r="G45">
        <v>1</v>
      </c>
      <c r="H45" t="s">
        <v>48</v>
      </c>
    </row>
    <row r="46" spans="1:8" x14ac:dyDescent="0.2">
      <c r="A46" t="s">
        <v>25</v>
      </c>
      <c r="B46">
        <v>2021</v>
      </c>
      <c r="C46">
        <v>152.38</v>
      </c>
      <c r="D46">
        <v>101.11</v>
      </c>
      <c r="E46">
        <v>11.29</v>
      </c>
      <c r="F46" t="s">
        <v>40</v>
      </c>
      <c r="G46">
        <v>1</v>
      </c>
      <c r="H46" t="s">
        <v>48</v>
      </c>
    </row>
    <row r="47" spans="1:8" x14ac:dyDescent="0.2">
      <c r="A47" t="s">
        <v>25</v>
      </c>
      <c r="B47">
        <v>2022</v>
      </c>
      <c r="C47">
        <v>121.12</v>
      </c>
      <c r="D47">
        <v>101.11</v>
      </c>
      <c r="E47">
        <v>16.309999999999999</v>
      </c>
      <c r="F47" t="s">
        <v>40</v>
      </c>
      <c r="G47">
        <v>1</v>
      </c>
      <c r="H47" t="s">
        <v>48</v>
      </c>
    </row>
    <row r="48" spans="1:8" x14ac:dyDescent="0.2">
      <c r="A48" t="s">
        <v>6</v>
      </c>
      <c r="B48">
        <v>2007</v>
      </c>
      <c r="C48" t="s">
        <v>39</v>
      </c>
      <c r="D48" t="s">
        <v>39</v>
      </c>
      <c r="E48" t="s">
        <v>39</v>
      </c>
      <c r="F48" t="s">
        <v>45</v>
      </c>
      <c r="G48">
        <v>1</v>
      </c>
      <c r="H48" t="s">
        <v>49</v>
      </c>
    </row>
    <row r="49" spans="1:8" x14ac:dyDescent="0.2">
      <c r="A49" t="s">
        <v>6</v>
      </c>
      <c r="B49">
        <v>2008</v>
      </c>
      <c r="C49" t="s">
        <v>39</v>
      </c>
      <c r="D49" t="s">
        <v>39</v>
      </c>
      <c r="E49" t="s">
        <v>39</v>
      </c>
      <c r="F49" t="s">
        <v>45</v>
      </c>
      <c r="G49">
        <v>1</v>
      </c>
      <c r="H49" t="s">
        <v>49</v>
      </c>
    </row>
    <row r="50" spans="1:8" x14ac:dyDescent="0.2">
      <c r="A50" t="s">
        <v>6</v>
      </c>
      <c r="B50">
        <v>2009</v>
      </c>
      <c r="C50">
        <v>180.49</v>
      </c>
      <c r="D50">
        <v>125</v>
      </c>
      <c r="E50">
        <v>9</v>
      </c>
      <c r="F50" t="s">
        <v>40</v>
      </c>
      <c r="G50">
        <v>1</v>
      </c>
      <c r="H50" t="s">
        <v>48</v>
      </c>
    </row>
    <row r="51" spans="1:8" x14ac:dyDescent="0.2">
      <c r="A51" t="s">
        <v>6</v>
      </c>
      <c r="B51">
        <v>2010</v>
      </c>
      <c r="C51">
        <v>148.91</v>
      </c>
      <c r="D51">
        <v>124.17</v>
      </c>
      <c r="E51">
        <v>10.8</v>
      </c>
      <c r="F51" t="s">
        <v>40</v>
      </c>
      <c r="G51">
        <v>1</v>
      </c>
      <c r="H51" t="s">
        <v>48</v>
      </c>
    </row>
    <row r="52" spans="1:8" x14ac:dyDescent="0.2">
      <c r="A52" t="s">
        <v>6</v>
      </c>
      <c r="B52">
        <v>2011</v>
      </c>
      <c r="C52" t="s">
        <v>39</v>
      </c>
      <c r="D52" t="s">
        <v>39</v>
      </c>
      <c r="E52" t="s">
        <v>39</v>
      </c>
      <c r="F52" t="s">
        <v>45</v>
      </c>
      <c r="G52">
        <v>1</v>
      </c>
      <c r="H52" t="s">
        <v>49</v>
      </c>
    </row>
    <row r="53" spans="1:8" x14ac:dyDescent="0.2">
      <c r="A53" t="s">
        <v>6</v>
      </c>
      <c r="B53">
        <v>2012</v>
      </c>
      <c r="C53">
        <v>89.62</v>
      </c>
      <c r="D53">
        <v>125.56</v>
      </c>
      <c r="E53">
        <v>7.83</v>
      </c>
      <c r="F53" t="s">
        <v>40</v>
      </c>
      <c r="G53">
        <v>1</v>
      </c>
      <c r="H53" t="s">
        <v>48</v>
      </c>
    </row>
    <row r="54" spans="1:8" x14ac:dyDescent="0.2">
      <c r="A54" t="s">
        <v>6</v>
      </c>
      <c r="B54">
        <v>2013</v>
      </c>
      <c r="C54">
        <v>97.2</v>
      </c>
      <c r="D54">
        <v>125.56</v>
      </c>
      <c r="E54">
        <v>11.85</v>
      </c>
      <c r="F54" t="s">
        <v>40</v>
      </c>
      <c r="G54">
        <v>1</v>
      </c>
      <c r="H54" t="s">
        <v>48</v>
      </c>
    </row>
    <row r="55" spans="1:8" x14ac:dyDescent="0.2">
      <c r="A55" t="s">
        <v>6</v>
      </c>
      <c r="B55">
        <v>2014</v>
      </c>
      <c r="C55">
        <v>153.08000000000001</v>
      </c>
      <c r="D55">
        <v>122.84</v>
      </c>
      <c r="E55">
        <v>11.53</v>
      </c>
      <c r="F55" t="s">
        <v>40</v>
      </c>
      <c r="G55">
        <v>1</v>
      </c>
      <c r="H55" t="s">
        <v>48</v>
      </c>
    </row>
    <row r="56" spans="1:8" x14ac:dyDescent="0.2">
      <c r="A56" t="s">
        <v>6</v>
      </c>
      <c r="B56">
        <v>2015</v>
      </c>
      <c r="C56">
        <v>153.56</v>
      </c>
      <c r="D56">
        <v>122.84</v>
      </c>
      <c r="E56">
        <v>8.7799999999999994</v>
      </c>
      <c r="F56" t="s">
        <v>40</v>
      </c>
      <c r="G56">
        <v>1</v>
      </c>
      <c r="H56" t="s">
        <v>48</v>
      </c>
    </row>
    <row r="57" spans="1:8" x14ac:dyDescent="0.2">
      <c r="A57" t="s">
        <v>6</v>
      </c>
      <c r="B57">
        <v>2016</v>
      </c>
      <c r="C57">
        <v>114.29</v>
      </c>
      <c r="D57">
        <v>122.84</v>
      </c>
      <c r="E57">
        <v>9.2200000000000006</v>
      </c>
      <c r="F57" t="s">
        <v>40</v>
      </c>
      <c r="G57">
        <v>1</v>
      </c>
      <c r="H57" t="s">
        <v>48</v>
      </c>
    </row>
    <row r="58" spans="1:8" x14ac:dyDescent="0.2">
      <c r="A58" t="s">
        <v>6</v>
      </c>
      <c r="B58">
        <v>2017</v>
      </c>
      <c r="C58">
        <v>121.4</v>
      </c>
      <c r="D58">
        <v>122.84</v>
      </c>
      <c r="E58">
        <v>11.87</v>
      </c>
      <c r="F58" t="s">
        <v>40</v>
      </c>
      <c r="G58">
        <v>1</v>
      </c>
      <c r="H58" t="s">
        <v>48</v>
      </c>
    </row>
    <row r="59" spans="1:8" x14ac:dyDescent="0.2">
      <c r="A59" t="s">
        <v>6</v>
      </c>
      <c r="B59">
        <v>2018</v>
      </c>
      <c r="C59" t="s">
        <v>39</v>
      </c>
      <c r="D59" t="s">
        <v>39</v>
      </c>
      <c r="E59" t="s">
        <v>39</v>
      </c>
      <c r="F59" t="s">
        <v>45</v>
      </c>
      <c r="G59">
        <v>1</v>
      </c>
      <c r="H59" t="s">
        <v>49</v>
      </c>
    </row>
    <row r="60" spans="1:8" x14ac:dyDescent="0.2">
      <c r="A60" t="s">
        <v>6</v>
      </c>
      <c r="B60">
        <v>2019</v>
      </c>
      <c r="C60">
        <v>209.29</v>
      </c>
      <c r="D60">
        <v>92.18</v>
      </c>
      <c r="E60">
        <v>13.24</v>
      </c>
      <c r="F60" t="s">
        <v>40</v>
      </c>
      <c r="G60">
        <v>1</v>
      </c>
      <c r="H60" t="s">
        <v>48</v>
      </c>
    </row>
    <row r="61" spans="1:8" x14ac:dyDescent="0.2">
      <c r="A61" t="s">
        <v>6</v>
      </c>
      <c r="B61">
        <v>2020</v>
      </c>
      <c r="C61">
        <v>185.04</v>
      </c>
      <c r="D61">
        <v>92.18</v>
      </c>
      <c r="E61">
        <v>16.440000000000001</v>
      </c>
      <c r="F61" t="s">
        <v>40</v>
      </c>
      <c r="G61">
        <v>1</v>
      </c>
      <c r="H61" t="s">
        <v>48</v>
      </c>
    </row>
    <row r="62" spans="1:8" x14ac:dyDescent="0.2">
      <c r="A62" t="s">
        <v>6</v>
      </c>
      <c r="B62">
        <v>2021</v>
      </c>
      <c r="C62">
        <v>172.62</v>
      </c>
      <c r="D62">
        <v>92.18</v>
      </c>
      <c r="E62">
        <v>13.6</v>
      </c>
      <c r="F62" t="s">
        <v>40</v>
      </c>
      <c r="G62">
        <v>1</v>
      </c>
      <c r="H62" t="s">
        <v>48</v>
      </c>
    </row>
    <row r="63" spans="1:8" x14ac:dyDescent="0.2">
      <c r="A63" t="s">
        <v>6</v>
      </c>
      <c r="B63">
        <v>2022</v>
      </c>
      <c r="C63">
        <v>142.62</v>
      </c>
      <c r="D63">
        <v>92.18</v>
      </c>
      <c r="E63">
        <v>18.190000000000001</v>
      </c>
      <c r="F63" t="s">
        <v>40</v>
      </c>
      <c r="G63">
        <v>1</v>
      </c>
      <c r="H63" t="s">
        <v>48</v>
      </c>
    </row>
    <row r="64" spans="1:8" x14ac:dyDescent="0.2">
      <c r="A64" t="s">
        <v>7</v>
      </c>
      <c r="B64">
        <v>2007</v>
      </c>
      <c r="C64" t="s">
        <v>39</v>
      </c>
      <c r="D64" t="s">
        <v>39</v>
      </c>
      <c r="E64" t="s">
        <v>39</v>
      </c>
      <c r="F64" t="s">
        <v>45</v>
      </c>
      <c r="G64">
        <v>1</v>
      </c>
      <c r="H64" t="s">
        <v>49</v>
      </c>
    </row>
    <row r="65" spans="1:8" x14ac:dyDescent="0.2">
      <c r="A65" t="s">
        <v>7</v>
      </c>
      <c r="B65">
        <v>2008</v>
      </c>
      <c r="C65">
        <v>190.3</v>
      </c>
      <c r="D65">
        <v>125</v>
      </c>
      <c r="E65">
        <v>12.88</v>
      </c>
      <c r="F65" t="s">
        <v>40</v>
      </c>
      <c r="G65">
        <v>1</v>
      </c>
      <c r="H65" t="s">
        <v>48</v>
      </c>
    </row>
    <row r="66" spans="1:8" x14ac:dyDescent="0.2">
      <c r="A66" t="s">
        <v>7</v>
      </c>
      <c r="B66">
        <v>2009</v>
      </c>
      <c r="C66" t="s">
        <v>39</v>
      </c>
      <c r="D66" t="s">
        <v>39</v>
      </c>
      <c r="E66" t="s">
        <v>39</v>
      </c>
      <c r="F66" t="s">
        <v>57</v>
      </c>
      <c r="G66">
        <v>1</v>
      </c>
      <c r="H66" t="s">
        <v>58</v>
      </c>
    </row>
    <row r="67" spans="1:8" x14ac:dyDescent="0.2">
      <c r="A67" t="s">
        <v>7</v>
      </c>
      <c r="B67">
        <v>2010</v>
      </c>
      <c r="C67">
        <v>180.09</v>
      </c>
      <c r="D67">
        <v>125</v>
      </c>
      <c r="E67">
        <v>6.9</v>
      </c>
      <c r="F67" t="s">
        <v>40</v>
      </c>
      <c r="G67">
        <v>1</v>
      </c>
      <c r="H67" t="s">
        <v>48</v>
      </c>
    </row>
    <row r="68" spans="1:8" x14ac:dyDescent="0.2">
      <c r="A68" t="s">
        <v>7</v>
      </c>
      <c r="B68">
        <v>2011</v>
      </c>
      <c r="C68">
        <v>162.11000000000001</v>
      </c>
      <c r="D68">
        <v>123.74</v>
      </c>
      <c r="E68">
        <v>12.51</v>
      </c>
      <c r="F68" t="s">
        <v>40</v>
      </c>
      <c r="G68">
        <v>1</v>
      </c>
      <c r="H68" t="s">
        <v>48</v>
      </c>
    </row>
    <row r="69" spans="1:8" x14ac:dyDescent="0.2">
      <c r="A69" t="s">
        <v>7</v>
      </c>
      <c r="B69">
        <v>2012</v>
      </c>
      <c r="C69">
        <v>99.13</v>
      </c>
      <c r="D69">
        <v>123.74</v>
      </c>
      <c r="E69">
        <v>10.7</v>
      </c>
      <c r="F69" t="s">
        <v>40</v>
      </c>
      <c r="G69">
        <v>1</v>
      </c>
      <c r="H69" t="s">
        <v>48</v>
      </c>
    </row>
    <row r="70" spans="1:8" x14ac:dyDescent="0.2">
      <c r="A70" t="s">
        <v>7</v>
      </c>
      <c r="B70">
        <v>2013</v>
      </c>
      <c r="C70">
        <v>91.15</v>
      </c>
      <c r="D70">
        <v>123.74</v>
      </c>
      <c r="E70">
        <v>16.899999999999999</v>
      </c>
      <c r="F70" t="s">
        <v>40</v>
      </c>
      <c r="G70">
        <v>1</v>
      </c>
      <c r="H70" t="s">
        <v>48</v>
      </c>
    </row>
    <row r="71" spans="1:8" x14ac:dyDescent="0.2">
      <c r="A71" t="s">
        <v>7</v>
      </c>
      <c r="B71">
        <v>2014</v>
      </c>
      <c r="C71">
        <v>171.75</v>
      </c>
      <c r="D71">
        <v>123.58</v>
      </c>
      <c r="E71">
        <v>12.91</v>
      </c>
      <c r="F71" t="s">
        <v>40</v>
      </c>
      <c r="G71">
        <v>1</v>
      </c>
      <c r="H71" t="s">
        <v>48</v>
      </c>
    </row>
    <row r="72" spans="1:8" x14ac:dyDescent="0.2">
      <c r="A72" t="s">
        <v>7</v>
      </c>
      <c r="B72">
        <v>2015</v>
      </c>
      <c r="C72">
        <v>180.65</v>
      </c>
      <c r="D72">
        <v>123.58</v>
      </c>
      <c r="E72">
        <v>10.5</v>
      </c>
      <c r="F72" t="s">
        <v>40</v>
      </c>
      <c r="G72">
        <v>1</v>
      </c>
      <c r="H72" t="s">
        <v>48</v>
      </c>
    </row>
    <row r="73" spans="1:8" x14ac:dyDescent="0.2">
      <c r="A73" t="s">
        <v>7</v>
      </c>
      <c r="B73">
        <v>2016</v>
      </c>
      <c r="C73">
        <v>179.31</v>
      </c>
      <c r="D73">
        <v>123.58</v>
      </c>
      <c r="E73">
        <v>11.21</v>
      </c>
      <c r="F73" t="s">
        <v>40</v>
      </c>
      <c r="G73">
        <v>1</v>
      </c>
      <c r="H73" t="s">
        <v>48</v>
      </c>
    </row>
    <row r="74" spans="1:8" x14ac:dyDescent="0.2">
      <c r="A74" t="s">
        <v>7</v>
      </c>
      <c r="B74">
        <v>2017</v>
      </c>
      <c r="C74">
        <v>139.87</v>
      </c>
      <c r="D74">
        <v>123.58</v>
      </c>
      <c r="E74">
        <v>9.5299999999999994</v>
      </c>
      <c r="F74" t="s">
        <v>40</v>
      </c>
      <c r="G74">
        <v>1</v>
      </c>
      <c r="H74" t="s">
        <v>48</v>
      </c>
    </row>
    <row r="75" spans="1:8" x14ac:dyDescent="0.2">
      <c r="A75" t="s">
        <v>7</v>
      </c>
      <c r="B75">
        <v>2018</v>
      </c>
      <c r="C75">
        <v>204.98</v>
      </c>
      <c r="D75">
        <v>123.58</v>
      </c>
      <c r="E75">
        <v>12.06</v>
      </c>
      <c r="F75" t="s">
        <v>40</v>
      </c>
      <c r="G75">
        <v>1</v>
      </c>
      <c r="H75" t="s">
        <v>48</v>
      </c>
    </row>
    <row r="76" spans="1:8" x14ac:dyDescent="0.2">
      <c r="A76" t="s">
        <v>7</v>
      </c>
      <c r="B76">
        <v>2019</v>
      </c>
      <c r="C76">
        <v>206.89</v>
      </c>
      <c r="D76">
        <v>102.71</v>
      </c>
      <c r="E76">
        <v>13.29</v>
      </c>
      <c r="F76" t="s">
        <v>40</v>
      </c>
      <c r="G76">
        <v>1</v>
      </c>
      <c r="H76" t="s">
        <v>48</v>
      </c>
    </row>
    <row r="77" spans="1:8" x14ac:dyDescent="0.2">
      <c r="A77" t="s">
        <v>7</v>
      </c>
      <c r="B77">
        <v>2020</v>
      </c>
      <c r="C77">
        <v>173.37</v>
      </c>
      <c r="D77">
        <v>102.71</v>
      </c>
      <c r="E77">
        <v>13.99</v>
      </c>
      <c r="F77" t="s">
        <v>40</v>
      </c>
      <c r="G77">
        <v>1</v>
      </c>
      <c r="H77" t="s">
        <v>48</v>
      </c>
    </row>
    <row r="78" spans="1:8" x14ac:dyDescent="0.2">
      <c r="A78" t="s">
        <v>7</v>
      </c>
      <c r="B78">
        <v>2021</v>
      </c>
      <c r="C78">
        <v>200.78</v>
      </c>
      <c r="D78">
        <v>102.71</v>
      </c>
      <c r="E78">
        <v>11.96</v>
      </c>
      <c r="F78" t="s">
        <v>40</v>
      </c>
      <c r="G78">
        <v>1</v>
      </c>
      <c r="H78" t="s">
        <v>48</v>
      </c>
    </row>
    <row r="79" spans="1:8" x14ac:dyDescent="0.2">
      <c r="A79" t="s">
        <v>7</v>
      </c>
      <c r="B79">
        <v>2022</v>
      </c>
      <c r="C79">
        <v>150.01</v>
      </c>
      <c r="D79">
        <v>102.71</v>
      </c>
      <c r="E79">
        <v>15.97</v>
      </c>
      <c r="F79" t="s">
        <v>40</v>
      </c>
      <c r="G79">
        <v>1</v>
      </c>
      <c r="H79" t="s">
        <v>48</v>
      </c>
    </row>
    <row r="80" spans="1:8" x14ac:dyDescent="0.2">
      <c r="A80" t="s">
        <v>5</v>
      </c>
      <c r="B80">
        <v>2007</v>
      </c>
      <c r="C80" t="s">
        <v>39</v>
      </c>
      <c r="D80" t="s">
        <v>39</v>
      </c>
      <c r="E80" t="s">
        <v>39</v>
      </c>
      <c r="F80" t="s">
        <v>45</v>
      </c>
      <c r="G80">
        <v>1</v>
      </c>
      <c r="H80" t="s">
        <v>49</v>
      </c>
    </row>
    <row r="81" spans="1:8" x14ac:dyDescent="0.2">
      <c r="A81" t="s">
        <v>5</v>
      </c>
      <c r="B81">
        <v>2008</v>
      </c>
      <c r="C81" t="s">
        <v>39</v>
      </c>
      <c r="D81" t="s">
        <v>39</v>
      </c>
      <c r="E81" t="s">
        <v>39</v>
      </c>
      <c r="F81" t="s">
        <v>45</v>
      </c>
      <c r="G81">
        <v>1</v>
      </c>
      <c r="H81" t="s">
        <v>49</v>
      </c>
    </row>
    <row r="82" spans="1:8" x14ac:dyDescent="0.2">
      <c r="A82" t="s">
        <v>5</v>
      </c>
      <c r="B82">
        <v>2009</v>
      </c>
      <c r="C82">
        <v>179.54</v>
      </c>
      <c r="D82">
        <v>125</v>
      </c>
      <c r="E82">
        <v>7.26</v>
      </c>
      <c r="F82" t="s">
        <v>40</v>
      </c>
      <c r="G82">
        <v>1</v>
      </c>
      <c r="H82" t="s">
        <v>48</v>
      </c>
    </row>
    <row r="83" spans="1:8" x14ac:dyDescent="0.2">
      <c r="A83" t="s">
        <v>5</v>
      </c>
      <c r="B83">
        <v>2010</v>
      </c>
      <c r="C83">
        <v>160.12</v>
      </c>
      <c r="D83">
        <v>125</v>
      </c>
      <c r="E83">
        <v>8.6</v>
      </c>
      <c r="F83" t="s">
        <v>40</v>
      </c>
      <c r="G83">
        <v>1</v>
      </c>
      <c r="H83" t="s">
        <v>48</v>
      </c>
    </row>
    <row r="84" spans="1:8" x14ac:dyDescent="0.2">
      <c r="A84" t="s">
        <v>5</v>
      </c>
      <c r="B84">
        <v>2011</v>
      </c>
      <c r="C84">
        <v>139.44999999999999</v>
      </c>
      <c r="D84">
        <v>121.88</v>
      </c>
      <c r="E84">
        <v>13.51</v>
      </c>
      <c r="F84" t="s">
        <v>40</v>
      </c>
      <c r="G84">
        <v>1</v>
      </c>
      <c r="H84" t="s">
        <v>48</v>
      </c>
    </row>
    <row r="85" spans="1:8" x14ac:dyDescent="0.2">
      <c r="A85" t="s">
        <v>5</v>
      </c>
      <c r="B85">
        <v>2012</v>
      </c>
      <c r="C85">
        <v>104.07</v>
      </c>
      <c r="D85">
        <v>121.88</v>
      </c>
      <c r="E85">
        <v>9.15</v>
      </c>
      <c r="F85" t="s">
        <v>40</v>
      </c>
      <c r="G85">
        <v>1</v>
      </c>
      <c r="H85" t="s">
        <v>48</v>
      </c>
    </row>
    <row r="86" spans="1:8" x14ac:dyDescent="0.2">
      <c r="A86" t="s">
        <v>5</v>
      </c>
      <c r="B86">
        <v>2013</v>
      </c>
      <c r="C86" t="s">
        <v>39</v>
      </c>
      <c r="D86" t="s">
        <v>39</v>
      </c>
      <c r="E86" t="s">
        <v>39</v>
      </c>
      <c r="F86" t="s">
        <v>45</v>
      </c>
      <c r="G86">
        <v>1</v>
      </c>
      <c r="H86" t="s">
        <v>49</v>
      </c>
    </row>
    <row r="87" spans="1:8" x14ac:dyDescent="0.2">
      <c r="A87" t="s">
        <v>5</v>
      </c>
      <c r="B87">
        <v>2014</v>
      </c>
      <c r="C87">
        <v>197.71</v>
      </c>
      <c r="D87">
        <v>122.65</v>
      </c>
      <c r="E87">
        <v>15.08</v>
      </c>
      <c r="F87" t="s">
        <v>40</v>
      </c>
      <c r="G87">
        <v>1</v>
      </c>
      <c r="H87" t="s">
        <v>48</v>
      </c>
    </row>
    <row r="88" spans="1:8" x14ac:dyDescent="0.2">
      <c r="A88" t="s">
        <v>5</v>
      </c>
      <c r="B88">
        <v>2015</v>
      </c>
      <c r="C88">
        <v>203.17</v>
      </c>
      <c r="D88">
        <v>122.65</v>
      </c>
      <c r="E88">
        <v>11.41</v>
      </c>
      <c r="F88" t="s">
        <v>40</v>
      </c>
      <c r="G88">
        <v>1</v>
      </c>
      <c r="H88" t="s">
        <v>48</v>
      </c>
    </row>
    <row r="89" spans="1:8" x14ac:dyDescent="0.2">
      <c r="A89" t="s">
        <v>5</v>
      </c>
      <c r="B89">
        <v>2016</v>
      </c>
      <c r="C89">
        <v>182.84</v>
      </c>
      <c r="D89">
        <v>122.65</v>
      </c>
      <c r="E89">
        <v>12.74</v>
      </c>
      <c r="F89" t="s">
        <v>40</v>
      </c>
      <c r="G89">
        <v>1</v>
      </c>
      <c r="H89" t="s">
        <v>48</v>
      </c>
    </row>
    <row r="90" spans="1:8" x14ac:dyDescent="0.2">
      <c r="A90" t="s">
        <v>5</v>
      </c>
      <c r="B90">
        <v>2017</v>
      </c>
      <c r="C90">
        <v>185.09</v>
      </c>
      <c r="D90">
        <v>122.65</v>
      </c>
      <c r="E90">
        <v>11.54</v>
      </c>
      <c r="F90" t="s">
        <v>40</v>
      </c>
      <c r="G90">
        <v>1</v>
      </c>
      <c r="H90" t="s">
        <v>48</v>
      </c>
    </row>
    <row r="91" spans="1:8" x14ac:dyDescent="0.2">
      <c r="A91" t="s">
        <v>5</v>
      </c>
      <c r="B91">
        <v>2018</v>
      </c>
      <c r="C91">
        <v>210.69</v>
      </c>
      <c r="D91">
        <v>90.59</v>
      </c>
      <c r="E91">
        <v>14.73</v>
      </c>
      <c r="F91" t="s">
        <v>40</v>
      </c>
      <c r="G91">
        <v>1</v>
      </c>
      <c r="H91" t="s">
        <v>48</v>
      </c>
    </row>
    <row r="92" spans="1:8" x14ac:dyDescent="0.2">
      <c r="A92" t="s">
        <v>5</v>
      </c>
      <c r="B92">
        <v>2019</v>
      </c>
      <c r="C92">
        <v>143.88999999999999</v>
      </c>
      <c r="D92">
        <v>90.59</v>
      </c>
      <c r="E92">
        <v>12.6</v>
      </c>
      <c r="F92" t="s">
        <v>40</v>
      </c>
      <c r="G92">
        <v>1</v>
      </c>
      <c r="H92" t="s">
        <v>48</v>
      </c>
    </row>
    <row r="93" spans="1:8" x14ac:dyDescent="0.2">
      <c r="A93" t="s">
        <v>5</v>
      </c>
      <c r="B93">
        <v>2020</v>
      </c>
      <c r="C93">
        <v>98.45</v>
      </c>
      <c r="D93">
        <v>90.59</v>
      </c>
      <c r="E93">
        <v>14.57</v>
      </c>
      <c r="F93" t="s">
        <v>40</v>
      </c>
      <c r="G93">
        <v>1</v>
      </c>
      <c r="H93" t="s">
        <v>48</v>
      </c>
    </row>
    <row r="94" spans="1:8" x14ac:dyDescent="0.2">
      <c r="A94" t="s">
        <v>5</v>
      </c>
      <c r="B94">
        <v>2021</v>
      </c>
      <c r="C94" t="s">
        <v>39</v>
      </c>
      <c r="D94" t="s">
        <v>39</v>
      </c>
      <c r="E94" t="s">
        <v>39</v>
      </c>
      <c r="F94" t="s">
        <v>52</v>
      </c>
      <c r="G94">
        <v>1</v>
      </c>
      <c r="H94" t="s">
        <v>56</v>
      </c>
    </row>
    <row r="95" spans="1:8" x14ac:dyDescent="0.2">
      <c r="A95" t="s">
        <v>5</v>
      </c>
      <c r="B95">
        <v>2022</v>
      </c>
      <c r="C95">
        <v>218.62</v>
      </c>
      <c r="D95">
        <v>90.59</v>
      </c>
      <c r="E95">
        <v>16.82</v>
      </c>
      <c r="F95" t="s">
        <v>40</v>
      </c>
      <c r="G95">
        <v>1</v>
      </c>
      <c r="H95" t="s">
        <v>48</v>
      </c>
    </row>
    <row r="96" spans="1:8" x14ac:dyDescent="0.2">
      <c r="A96" t="s">
        <v>8</v>
      </c>
      <c r="B96">
        <v>2007</v>
      </c>
      <c r="C96" t="s">
        <v>39</v>
      </c>
      <c r="D96" t="s">
        <v>39</v>
      </c>
      <c r="E96" t="s">
        <v>39</v>
      </c>
      <c r="F96" t="s">
        <v>45</v>
      </c>
      <c r="G96">
        <v>1</v>
      </c>
      <c r="H96" t="s">
        <v>49</v>
      </c>
    </row>
    <row r="97" spans="1:8" x14ac:dyDescent="0.2">
      <c r="A97" t="s">
        <v>8</v>
      </c>
      <c r="B97">
        <v>2008</v>
      </c>
      <c r="C97">
        <v>199.59</v>
      </c>
      <c r="D97">
        <v>131.06</v>
      </c>
      <c r="E97">
        <v>12.41</v>
      </c>
      <c r="F97" t="s">
        <v>40</v>
      </c>
      <c r="G97">
        <v>1</v>
      </c>
      <c r="H97" t="s">
        <v>48</v>
      </c>
    </row>
    <row r="98" spans="1:8" x14ac:dyDescent="0.2">
      <c r="A98" t="s">
        <v>8</v>
      </c>
      <c r="B98">
        <v>2009</v>
      </c>
      <c r="C98">
        <v>156.65</v>
      </c>
      <c r="D98">
        <v>131.06</v>
      </c>
      <c r="E98">
        <v>8.19</v>
      </c>
      <c r="F98" t="s">
        <v>40</v>
      </c>
      <c r="G98">
        <v>1</v>
      </c>
      <c r="H98" t="s">
        <v>48</v>
      </c>
    </row>
    <row r="99" spans="1:8" x14ac:dyDescent="0.2">
      <c r="A99" t="s">
        <v>8</v>
      </c>
      <c r="B99">
        <v>2010</v>
      </c>
      <c r="C99">
        <v>161.65</v>
      </c>
      <c r="D99">
        <v>131.06</v>
      </c>
      <c r="E99">
        <v>8.4</v>
      </c>
      <c r="F99" t="s">
        <v>40</v>
      </c>
      <c r="G99">
        <v>1</v>
      </c>
      <c r="H99" t="s">
        <v>48</v>
      </c>
    </row>
    <row r="100" spans="1:8" x14ac:dyDescent="0.2">
      <c r="A100" t="s">
        <v>8</v>
      </c>
      <c r="B100">
        <v>2011</v>
      </c>
      <c r="C100" t="s">
        <v>39</v>
      </c>
      <c r="D100" t="s">
        <v>39</v>
      </c>
      <c r="E100" t="s">
        <v>39</v>
      </c>
      <c r="F100" t="s">
        <v>52</v>
      </c>
      <c r="G100">
        <v>1</v>
      </c>
      <c r="H100" t="s">
        <v>56</v>
      </c>
    </row>
    <row r="101" spans="1:8" x14ac:dyDescent="0.2">
      <c r="A101" t="s">
        <v>8</v>
      </c>
      <c r="B101">
        <v>2012</v>
      </c>
      <c r="C101">
        <v>137.1</v>
      </c>
      <c r="D101">
        <v>135.29</v>
      </c>
      <c r="E101">
        <v>13.44</v>
      </c>
      <c r="F101" t="s">
        <v>40</v>
      </c>
      <c r="G101">
        <v>1</v>
      </c>
      <c r="H101" t="s">
        <v>48</v>
      </c>
    </row>
    <row r="102" spans="1:8" x14ac:dyDescent="0.2">
      <c r="A102" t="s">
        <v>8</v>
      </c>
      <c r="B102">
        <v>2013</v>
      </c>
      <c r="C102">
        <v>175.77</v>
      </c>
      <c r="D102">
        <v>135.29</v>
      </c>
      <c r="E102">
        <v>12.48</v>
      </c>
      <c r="F102" t="s">
        <v>40</v>
      </c>
      <c r="G102">
        <v>1</v>
      </c>
      <c r="H102" t="s">
        <v>48</v>
      </c>
    </row>
    <row r="103" spans="1:8" x14ac:dyDescent="0.2">
      <c r="A103" t="s">
        <v>8</v>
      </c>
      <c r="B103">
        <v>2014</v>
      </c>
      <c r="C103">
        <v>197.94</v>
      </c>
      <c r="D103">
        <v>133.24</v>
      </c>
      <c r="E103">
        <v>15.82</v>
      </c>
      <c r="F103" t="s">
        <v>40</v>
      </c>
      <c r="G103">
        <v>1</v>
      </c>
      <c r="H103" t="s">
        <v>48</v>
      </c>
    </row>
    <row r="104" spans="1:8" x14ac:dyDescent="0.2">
      <c r="A104" t="s">
        <v>8</v>
      </c>
      <c r="B104">
        <v>2015</v>
      </c>
      <c r="C104">
        <v>210.64</v>
      </c>
      <c r="D104">
        <v>133.24</v>
      </c>
      <c r="E104">
        <v>12.34</v>
      </c>
      <c r="F104" t="s">
        <v>40</v>
      </c>
      <c r="G104">
        <v>1</v>
      </c>
      <c r="H104" t="s">
        <v>48</v>
      </c>
    </row>
    <row r="105" spans="1:8" x14ac:dyDescent="0.2">
      <c r="A105" t="s">
        <v>8</v>
      </c>
      <c r="B105">
        <v>2016</v>
      </c>
      <c r="C105">
        <v>193.15</v>
      </c>
      <c r="D105">
        <v>133.24</v>
      </c>
      <c r="E105">
        <v>16.47</v>
      </c>
      <c r="F105" t="s">
        <v>40</v>
      </c>
      <c r="G105">
        <v>1</v>
      </c>
      <c r="H105" t="s">
        <v>48</v>
      </c>
    </row>
    <row r="106" spans="1:8" x14ac:dyDescent="0.2">
      <c r="A106" t="s">
        <v>8</v>
      </c>
      <c r="B106">
        <v>2017</v>
      </c>
      <c r="C106">
        <v>203.23</v>
      </c>
      <c r="D106">
        <v>133.24</v>
      </c>
      <c r="E106">
        <v>13.79</v>
      </c>
      <c r="F106" t="s">
        <v>40</v>
      </c>
      <c r="G106">
        <v>1</v>
      </c>
      <c r="H106" t="s">
        <v>48</v>
      </c>
    </row>
    <row r="107" spans="1:8" x14ac:dyDescent="0.2">
      <c r="A107" t="s">
        <v>8</v>
      </c>
      <c r="B107">
        <v>2018</v>
      </c>
      <c r="C107">
        <v>223.16</v>
      </c>
      <c r="D107">
        <v>133.24</v>
      </c>
      <c r="E107">
        <v>12.86</v>
      </c>
      <c r="F107" t="s">
        <v>40</v>
      </c>
      <c r="G107">
        <v>1</v>
      </c>
      <c r="H107" t="s">
        <v>48</v>
      </c>
    </row>
    <row r="108" spans="1:8" x14ac:dyDescent="0.2">
      <c r="A108" t="s">
        <v>8</v>
      </c>
      <c r="B108">
        <v>2019</v>
      </c>
      <c r="C108">
        <v>175.56</v>
      </c>
      <c r="D108">
        <v>133.24</v>
      </c>
      <c r="E108">
        <v>15.31</v>
      </c>
      <c r="F108" t="s">
        <v>40</v>
      </c>
      <c r="G108">
        <v>1</v>
      </c>
      <c r="H108" t="s">
        <v>48</v>
      </c>
    </row>
    <row r="109" spans="1:8" x14ac:dyDescent="0.2">
      <c r="A109" t="s">
        <v>8</v>
      </c>
      <c r="B109">
        <v>2020</v>
      </c>
      <c r="C109">
        <v>186.93</v>
      </c>
      <c r="D109">
        <v>101.23</v>
      </c>
      <c r="E109">
        <v>14.91</v>
      </c>
      <c r="F109" t="s">
        <v>40</v>
      </c>
      <c r="G109">
        <v>1</v>
      </c>
      <c r="H109" t="s">
        <v>48</v>
      </c>
    </row>
    <row r="110" spans="1:8" x14ac:dyDescent="0.2">
      <c r="A110" t="s">
        <v>8</v>
      </c>
      <c r="B110">
        <v>2021</v>
      </c>
      <c r="C110">
        <v>194.83</v>
      </c>
      <c r="D110">
        <v>101.23</v>
      </c>
      <c r="E110">
        <v>13.1</v>
      </c>
      <c r="F110" t="s">
        <v>40</v>
      </c>
      <c r="G110">
        <v>1</v>
      </c>
      <c r="H110" t="s">
        <v>48</v>
      </c>
    </row>
    <row r="111" spans="1:8" x14ac:dyDescent="0.2">
      <c r="A111" t="s">
        <v>8</v>
      </c>
      <c r="B111">
        <v>2022</v>
      </c>
      <c r="C111">
        <v>124.6</v>
      </c>
      <c r="D111">
        <v>101.23</v>
      </c>
      <c r="E111">
        <v>16.8</v>
      </c>
      <c r="F111" t="s">
        <v>40</v>
      </c>
      <c r="G111">
        <v>1</v>
      </c>
      <c r="H111" t="s">
        <v>48</v>
      </c>
    </row>
    <row r="112" spans="1:8" x14ac:dyDescent="0.2">
      <c r="A112" t="s">
        <v>9</v>
      </c>
      <c r="B112">
        <v>2007</v>
      </c>
      <c r="C112" t="s">
        <v>39</v>
      </c>
      <c r="D112" t="s">
        <v>39</v>
      </c>
      <c r="E112" t="s">
        <v>39</v>
      </c>
      <c r="F112" t="s">
        <v>45</v>
      </c>
      <c r="G112">
        <v>1</v>
      </c>
      <c r="H112" t="s">
        <v>49</v>
      </c>
    </row>
    <row r="113" spans="1:8" x14ac:dyDescent="0.2">
      <c r="A113" t="s">
        <v>9</v>
      </c>
      <c r="B113">
        <v>2008</v>
      </c>
      <c r="C113">
        <v>188.19</v>
      </c>
      <c r="D113">
        <v>125</v>
      </c>
      <c r="E113">
        <v>13.61</v>
      </c>
      <c r="F113" t="s">
        <v>40</v>
      </c>
      <c r="G113">
        <v>1</v>
      </c>
      <c r="H113" t="s">
        <v>48</v>
      </c>
    </row>
    <row r="114" spans="1:8" x14ac:dyDescent="0.2">
      <c r="A114" t="s">
        <v>9</v>
      </c>
      <c r="B114">
        <v>2009</v>
      </c>
      <c r="C114" t="s">
        <v>39</v>
      </c>
      <c r="D114" t="s">
        <v>39</v>
      </c>
      <c r="E114" t="s">
        <v>39</v>
      </c>
      <c r="F114" t="s">
        <v>45</v>
      </c>
      <c r="G114">
        <v>1</v>
      </c>
      <c r="H114" t="s">
        <v>49</v>
      </c>
    </row>
    <row r="115" spans="1:8" x14ac:dyDescent="0.2">
      <c r="A115" t="s">
        <v>9</v>
      </c>
      <c r="B115">
        <v>2010</v>
      </c>
      <c r="C115">
        <v>155.05000000000001</v>
      </c>
      <c r="D115">
        <v>125</v>
      </c>
      <c r="E115">
        <v>7.5</v>
      </c>
      <c r="F115" t="s">
        <v>40</v>
      </c>
      <c r="G115">
        <v>1</v>
      </c>
      <c r="H115" t="s">
        <v>48</v>
      </c>
    </row>
    <row r="116" spans="1:8" x14ac:dyDescent="0.2">
      <c r="A116" t="s">
        <v>9</v>
      </c>
      <c r="B116">
        <v>2011</v>
      </c>
      <c r="C116">
        <v>117.07</v>
      </c>
      <c r="D116">
        <v>120.94</v>
      </c>
      <c r="E116">
        <v>11.69</v>
      </c>
      <c r="F116" t="s">
        <v>40</v>
      </c>
      <c r="G116">
        <v>1</v>
      </c>
      <c r="H116" t="s">
        <v>48</v>
      </c>
    </row>
    <row r="117" spans="1:8" x14ac:dyDescent="0.2">
      <c r="A117" t="s">
        <v>9</v>
      </c>
      <c r="B117">
        <v>2012</v>
      </c>
      <c r="C117">
        <v>124.91</v>
      </c>
      <c r="D117">
        <v>120.94</v>
      </c>
      <c r="E117">
        <v>10.79</v>
      </c>
      <c r="F117" t="s">
        <v>40</v>
      </c>
      <c r="G117">
        <v>1</v>
      </c>
      <c r="H117" t="s">
        <v>48</v>
      </c>
    </row>
    <row r="118" spans="1:8" x14ac:dyDescent="0.2">
      <c r="A118" t="s">
        <v>9</v>
      </c>
      <c r="B118">
        <v>2013</v>
      </c>
      <c r="C118">
        <v>179.9</v>
      </c>
      <c r="D118">
        <v>120.94</v>
      </c>
      <c r="E118">
        <v>17.82</v>
      </c>
      <c r="F118" t="s">
        <v>40</v>
      </c>
      <c r="G118">
        <v>1</v>
      </c>
      <c r="H118" t="s">
        <v>48</v>
      </c>
    </row>
    <row r="119" spans="1:8" x14ac:dyDescent="0.2">
      <c r="A119" t="s">
        <v>9</v>
      </c>
      <c r="B119">
        <v>2014</v>
      </c>
      <c r="C119">
        <v>186.58</v>
      </c>
      <c r="D119">
        <v>122.48</v>
      </c>
      <c r="E119">
        <v>15.35</v>
      </c>
      <c r="F119" t="s">
        <v>40</v>
      </c>
      <c r="G119">
        <v>1</v>
      </c>
      <c r="H119" t="s">
        <v>48</v>
      </c>
    </row>
    <row r="120" spans="1:8" x14ac:dyDescent="0.2">
      <c r="A120" t="s">
        <v>9</v>
      </c>
      <c r="B120">
        <v>2015</v>
      </c>
      <c r="C120">
        <v>177.91</v>
      </c>
      <c r="D120">
        <v>122.48</v>
      </c>
      <c r="E120">
        <v>11.45</v>
      </c>
      <c r="F120" t="s">
        <v>40</v>
      </c>
      <c r="G120">
        <v>1</v>
      </c>
      <c r="H120" t="s">
        <v>48</v>
      </c>
    </row>
    <row r="121" spans="1:8" x14ac:dyDescent="0.2">
      <c r="A121" t="s">
        <v>9</v>
      </c>
      <c r="B121">
        <v>2016</v>
      </c>
      <c r="C121">
        <v>171.16</v>
      </c>
      <c r="D121">
        <v>122.48</v>
      </c>
      <c r="E121">
        <v>13.6</v>
      </c>
      <c r="F121" t="s">
        <v>40</v>
      </c>
      <c r="G121">
        <v>1</v>
      </c>
      <c r="H121" t="s">
        <v>48</v>
      </c>
    </row>
    <row r="122" spans="1:8" x14ac:dyDescent="0.2">
      <c r="A122" t="s">
        <v>9</v>
      </c>
      <c r="B122">
        <v>2017</v>
      </c>
      <c r="C122">
        <v>193.58</v>
      </c>
      <c r="D122">
        <v>122.48</v>
      </c>
      <c r="E122">
        <v>10.27</v>
      </c>
      <c r="F122" t="s">
        <v>40</v>
      </c>
      <c r="G122">
        <v>1</v>
      </c>
      <c r="H122" t="s">
        <v>48</v>
      </c>
    </row>
    <row r="123" spans="1:8" x14ac:dyDescent="0.2">
      <c r="A123" t="s">
        <v>9</v>
      </c>
      <c r="B123">
        <v>2018</v>
      </c>
      <c r="C123">
        <v>211.2</v>
      </c>
      <c r="D123">
        <v>122.48</v>
      </c>
      <c r="E123">
        <v>14.83</v>
      </c>
      <c r="F123" t="s">
        <v>40</v>
      </c>
      <c r="G123">
        <v>1</v>
      </c>
      <c r="H123" t="s">
        <v>48</v>
      </c>
    </row>
    <row r="124" spans="1:8" x14ac:dyDescent="0.2">
      <c r="A124" t="s">
        <v>9</v>
      </c>
      <c r="B124">
        <v>2019</v>
      </c>
      <c r="C124">
        <v>188.68</v>
      </c>
      <c r="D124">
        <v>122.48</v>
      </c>
      <c r="E124">
        <v>9.48</v>
      </c>
      <c r="F124" t="s">
        <v>40</v>
      </c>
      <c r="G124">
        <v>1</v>
      </c>
      <c r="H124" t="s">
        <v>48</v>
      </c>
    </row>
    <row r="125" spans="1:8" x14ac:dyDescent="0.2">
      <c r="A125" t="s">
        <v>9</v>
      </c>
      <c r="B125">
        <v>2020</v>
      </c>
      <c r="C125">
        <v>68.72</v>
      </c>
      <c r="D125">
        <v>91.88</v>
      </c>
      <c r="E125">
        <v>14.24</v>
      </c>
      <c r="F125" t="s">
        <v>40</v>
      </c>
      <c r="G125">
        <v>1</v>
      </c>
      <c r="H125" t="s">
        <v>48</v>
      </c>
    </row>
    <row r="126" spans="1:8" x14ac:dyDescent="0.2">
      <c r="A126" t="s">
        <v>9</v>
      </c>
      <c r="B126">
        <v>2021</v>
      </c>
      <c r="C126" t="s">
        <v>39</v>
      </c>
      <c r="D126" t="s">
        <v>39</v>
      </c>
      <c r="E126" t="s">
        <v>39</v>
      </c>
      <c r="F126" t="s">
        <v>52</v>
      </c>
      <c r="G126">
        <v>1</v>
      </c>
      <c r="H126" t="s">
        <v>56</v>
      </c>
    </row>
    <row r="127" spans="1:8" x14ac:dyDescent="0.2">
      <c r="A127" t="s">
        <v>9</v>
      </c>
      <c r="B127">
        <v>2022</v>
      </c>
      <c r="C127">
        <v>214.19</v>
      </c>
      <c r="D127">
        <v>92.2</v>
      </c>
      <c r="E127">
        <v>15.72</v>
      </c>
      <c r="F127" t="s">
        <v>40</v>
      </c>
      <c r="G127">
        <v>1</v>
      </c>
      <c r="H127" t="s">
        <v>48</v>
      </c>
    </row>
    <row r="128" spans="1:8" x14ac:dyDescent="0.2">
      <c r="A128" t="s">
        <v>67</v>
      </c>
      <c r="B128">
        <v>2021</v>
      </c>
      <c r="C128">
        <v>258.10000000000002</v>
      </c>
      <c r="D128" t="s">
        <v>39</v>
      </c>
      <c r="E128">
        <v>8.43</v>
      </c>
      <c r="F128" t="s">
        <v>40</v>
      </c>
    </row>
    <row r="129" spans="1:6" x14ac:dyDescent="0.2">
      <c r="A129" t="s">
        <v>67</v>
      </c>
      <c r="B129">
        <v>2022</v>
      </c>
      <c r="C129">
        <v>237.56</v>
      </c>
      <c r="D129" t="s">
        <v>39</v>
      </c>
      <c r="E129">
        <v>7.34</v>
      </c>
      <c r="F129" t="s">
        <v>40</v>
      </c>
    </row>
    <row r="130" spans="1:6" x14ac:dyDescent="0.2">
      <c r="A130" t="s">
        <v>68</v>
      </c>
      <c r="B130">
        <v>2021</v>
      </c>
      <c r="C130">
        <v>275.5</v>
      </c>
      <c r="D130" t="s">
        <v>39</v>
      </c>
      <c r="E130">
        <v>7.66</v>
      </c>
      <c r="F130" t="s">
        <v>40</v>
      </c>
    </row>
    <row r="131" spans="1:6" x14ac:dyDescent="0.2">
      <c r="A131" t="s">
        <v>68</v>
      </c>
      <c r="B131">
        <v>2022</v>
      </c>
      <c r="C131">
        <v>210.95</v>
      </c>
      <c r="D131" t="s">
        <v>39</v>
      </c>
      <c r="E131">
        <v>6</v>
      </c>
      <c r="F131" t="s">
        <v>40</v>
      </c>
    </row>
  </sheetData>
  <sortState xmlns:xlrd2="http://schemas.microsoft.com/office/spreadsheetml/2017/richdata2" ref="A2:H127">
    <sortCondition ref="A2:A127"/>
    <sortCondition ref="B2:B127"/>
  </sortState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4993-900C-4023-BB40-CAE10EC8C339}">
  <dimension ref="A1:K97"/>
  <sheetViews>
    <sheetView tabSelected="1" zoomScale="125" workbookViewId="0">
      <pane xSplit="1" ySplit="1" topLeftCell="B73" activePane="bottomRight" state="frozen"/>
      <selection pane="topRight" activeCell="C1" sqref="C1"/>
      <selection pane="bottomLeft" activeCell="A2" sqref="A2"/>
      <selection pane="bottomRight" activeCell="M96" sqref="M96"/>
    </sheetView>
  </sheetViews>
  <sheetFormatPr baseColWidth="10" defaultColWidth="8.83203125" defaultRowHeight="15" x14ac:dyDescent="0.2"/>
  <cols>
    <col min="1" max="1" width="11" bestFit="1" customWidth="1"/>
    <col min="2" max="2" width="11.83203125" bestFit="1" customWidth="1"/>
  </cols>
  <sheetData>
    <row r="1" spans="1:11" x14ac:dyDescent="0.2">
      <c r="A1" s="1" t="s">
        <v>64</v>
      </c>
      <c r="B1" s="1" t="s">
        <v>6</v>
      </c>
      <c r="C1" s="1" t="s">
        <v>7</v>
      </c>
      <c r="D1" s="1" t="s">
        <v>5</v>
      </c>
      <c r="E1" s="1" t="s">
        <v>8</v>
      </c>
      <c r="F1" s="1" t="s">
        <v>9</v>
      </c>
      <c r="G1" s="1" t="s">
        <v>25</v>
      </c>
      <c r="H1" s="1" t="s">
        <v>30</v>
      </c>
      <c r="I1" s="1" t="s">
        <v>31</v>
      </c>
      <c r="J1" s="1" t="s">
        <v>67</v>
      </c>
      <c r="K1" s="1" t="s">
        <v>68</v>
      </c>
    </row>
    <row r="2" spans="1:11" x14ac:dyDescent="0.2">
      <c r="A2" s="4">
        <v>42005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39</v>
      </c>
      <c r="I2" t="s">
        <v>39</v>
      </c>
      <c r="J2" t="s">
        <v>39</v>
      </c>
      <c r="K2" t="s">
        <v>39</v>
      </c>
    </row>
    <row r="3" spans="1:11" x14ac:dyDescent="0.2">
      <c r="A3" s="4">
        <v>42036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39</v>
      </c>
      <c r="I3" t="s">
        <v>39</v>
      </c>
      <c r="J3" t="s">
        <v>39</v>
      </c>
      <c r="K3" t="s">
        <v>39</v>
      </c>
    </row>
    <row r="4" spans="1:11" x14ac:dyDescent="0.2">
      <c r="A4" s="4">
        <v>42064</v>
      </c>
      <c r="B4">
        <f>12*([1]Ruda!$FK$38-[1]Ruda!$FK$12)/[1]Ruda!$FK$2</f>
        <v>1.2226978652543365</v>
      </c>
      <c r="C4">
        <f>12*([1]Ruda!$FL$38-[1]Ruda!$FL$12)/[1]Ruda!$FL$2</f>
        <v>1.6661011525850566</v>
      </c>
      <c r="D4">
        <f>12*([1]Ruda!$FM$38-[1]Ruda!$FM$12)/[1]Ruda!$FM$2</f>
        <v>0</v>
      </c>
      <c r="E4">
        <f>12*([1]Ruda!$FN$38-[1]Ruda!$FN$12)/[1]Ruda!$FN$2</f>
        <v>2.257795417672559E-2</v>
      </c>
      <c r="F4">
        <f>12*([1]Ruda!$FO$38-[1]Ruda!$FO$12)/[1]Ruda!$FO$2</f>
        <v>0.51177987969428862</v>
      </c>
      <c r="G4">
        <v>0</v>
      </c>
      <c r="H4" t="s">
        <v>39</v>
      </c>
      <c r="I4" t="s">
        <v>39</v>
      </c>
      <c r="J4" t="s">
        <v>39</v>
      </c>
      <c r="K4" t="s">
        <v>39</v>
      </c>
    </row>
    <row r="5" spans="1:11" x14ac:dyDescent="0.2">
      <c r="A5" s="4">
        <v>42095</v>
      </c>
      <c r="B5">
        <f>12*([1]Ruda!$FK$69-[1]Ruda!$FK$38)/[1]Ruda!$FK$2</f>
        <v>2.4442618620724388</v>
      </c>
      <c r="C5">
        <f>12*([1]Ruda!$FL$69-[1]Ruda!$FL$38)/[1]Ruda!$FL$2</f>
        <v>0.24292259449191136</v>
      </c>
      <c r="D5">
        <f>12*([1]Ruda!$FM$69-[1]Ruda!$FM$38)/[1]Ruda!$FM$2</f>
        <v>0.65289389452756352</v>
      </c>
      <c r="E5">
        <f>12*([1]Ruda!$FN$69-[1]Ruda!$FN$38)/[1]Ruda!$FN$2</f>
        <v>0</v>
      </c>
      <c r="F5">
        <f>12*([1]Ruda!$FO$69-[1]Ruda!$FO$38)/[1]Ruda!$FO$2</f>
        <v>2.0654908168001418</v>
      </c>
      <c r="G5">
        <f>12*([1]Brown!$W$22-[1]Brown!$W$12)/[1]Brown!$S$1</f>
        <v>1.0841182870141437</v>
      </c>
      <c r="H5" t="s">
        <v>39</v>
      </c>
      <c r="I5" t="s">
        <v>39</v>
      </c>
      <c r="J5" t="s">
        <v>39</v>
      </c>
      <c r="K5" t="s">
        <v>39</v>
      </c>
    </row>
    <row r="6" spans="1:11" x14ac:dyDescent="0.2">
      <c r="A6" s="4">
        <v>42125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39</v>
      </c>
      <c r="I6" t="s">
        <v>39</v>
      </c>
      <c r="J6" t="s">
        <v>39</v>
      </c>
      <c r="K6" t="s">
        <v>39</v>
      </c>
    </row>
    <row r="7" spans="1:11" x14ac:dyDescent="0.2">
      <c r="A7" s="4">
        <v>42156</v>
      </c>
      <c r="B7">
        <f>12*([1]Ruda!$FK$123-[1]Ruda!$FK$69)/[1]Ruda!$FK$2</f>
        <v>0.86534252347746099</v>
      </c>
      <c r="C7">
        <f>12*([1]Ruda!$FL$123-[1]Ruda!$FL$69)/[1]Ruda!$FL$2</f>
        <v>0.64034491463616006</v>
      </c>
      <c r="D7">
        <f>12*([1]Ruda!$FM$123-[1]Ruda!$FM$69)/[1]Ruda!$FM$2</f>
        <v>1.7271363764866912</v>
      </c>
      <c r="E7">
        <f>12*([1]Ruda!$FN$123-[1]Ruda!$FN$69)/[1]Ruda!$FN$2</f>
        <v>2.302443087293359</v>
      </c>
      <c r="F7">
        <f>12*([1]Ruda!$FO$123-[1]Ruda!$FO$69)/[1]Ruda!$FO$2</f>
        <v>1.0043116916512143</v>
      </c>
      <c r="G7">
        <f>12*([1]Brown!$W$40-[1]Brown!$W$22)/[1]Brown!$S$1</f>
        <v>1.4265176540401574</v>
      </c>
      <c r="H7" t="s">
        <v>39</v>
      </c>
      <c r="I7" t="s">
        <v>39</v>
      </c>
      <c r="J7" t="s">
        <v>39</v>
      </c>
      <c r="K7" t="s">
        <v>39</v>
      </c>
    </row>
    <row r="8" spans="1:11" x14ac:dyDescent="0.2">
      <c r="A8" s="4">
        <v>42186</v>
      </c>
      <c r="B8">
        <f>12*([1]Ruda!$FK$184-[1]Ruda!$FK$123)/[1]Ruda!$FK$2</f>
        <v>0.13680585154102065</v>
      </c>
      <c r="C8">
        <f>12*([1]Ruda!$FL$184-[1]Ruda!$FL$123)/[1]Ruda!$FL$2</f>
        <v>1.6498471098771035</v>
      </c>
      <c r="D8">
        <f>12*([1]Ruda!$FM$184-[1]Ruda!$FM$123)/[1]Ruda!$FM$2</f>
        <v>3.9759966407303495</v>
      </c>
      <c r="E8">
        <f>12*([1]Ruda!$FN$184-[1]Ruda!$FN$123)/[1]Ruda!$FN$2</f>
        <v>4.0687092607361102</v>
      </c>
      <c r="F8">
        <f>12*([1]Ruda!$FO$184-[1]Ruda!$FO$123)/[1]Ruda!$FO$2</f>
        <v>2.8219094380410761</v>
      </c>
      <c r="G8">
        <f>12*([1]Brown!$W$75-[1]Brown!$W$40)/[1]Brown!$S$1</f>
        <v>3.966124023340913</v>
      </c>
      <c r="H8" t="s">
        <v>39</v>
      </c>
      <c r="I8" t="s">
        <v>39</v>
      </c>
      <c r="J8" t="s">
        <v>39</v>
      </c>
      <c r="K8" t="s">
        <v>39</v>
      </c>
    </row>
    <row r="9" spans="1:11" x14ac:dyDescent="0.2">
      <c r="A9" s="4">
        <v>42217</v>
      </c>
      <c r="B9">
        <f>12*([1]Ruda!$FK$239-[1]Ruda!$FK$184)/[1]Ruda!$FK$2</f>
        <v>1.1633297870471355</v>
      </c>
      <c r="C9">
        <f>12*([1]Ruda!$FL$239-[1]Ruda!$FL$184)/[1]Ruda!$FL$2</f>
        <v>3.9780787893180682</v>
      </c>
      <c r="D9">
        <f>12*([1]Ruda!$FM$239-[1]Ruda!$FM$184)/[1]Ruda!$FM$2</f>
        <v>2.575632166665375</v>
      </c>
      <c r="E9">
        <f>12*([1]Ruda!$FN$239-[1]Ruda!$FN$184)/[1]Ruda!$FN$2</f>
        <v>2.1752146477040646</v>
      </c>
      <c r="F9">
        <f>12*([1]Ruda!$FO$239-[1]Ruda!$FO$184)/[1]Ruda!$FO$2</f>
        <v>2.2363709155882643</v>
      </c>
      <c r="G9">
        <f>12*([1]Brown!$W$108-[1]Brown!$W$75)/[1]Brown!$S$1</f>
        <v>3.5422015626545349</v>
      </c>
      <c r="H9" t="s">
        <v>39</v>
      </c>
      <c r="I9" t="s">
        <v>39</v>
      </c>
      <c r="J9" t="s">
        <v>39</v>
      </c>
      <c r="K9" t="s">
        <v>39</v>
      </c>
    </row>
    <row r="10" spans="1:11" x14ac:dyDescent="0.2">
      <c r="A10" s="4">
        <v>42248</v>
      </c>
      <c r="B10">
        <f>12*([1]Ruda!$FK$285-[1]Ruda!$FK$239)/[1]Ruda!$FK$2</f>
        <v>0</v>
      </c>
      <c r="C10">
        <f>12*([1]Ruda!$FL$285-[1]Ruda!$FL$239)/[1]Ruda!$FL$2</f>
        <v>2.0942393859701607</v>
      </c>
      <c r="D10">
        <f>12*([1]Ruda!$FM$285-[1]Ruda!$FM$239)/[1]Ruda!$FM$2</f>
        <v>1.9844298747896694</v>
      </c>
      <c r="E10">
        <f>12*([1]Ruda!$FN$285-[1]Ruda!$FN$239)/[1]Ruda!$FN$2</f>
        <v>3.2749510276713618</v>
      </c>
      <c r="F10">
        <f>12*([1]Ruda!$FO$285-[1]Ruda!$FO$239)/[1]Ruda!$FO$2</f>
        <v>3.0309112885962146</v>
      </c>
      <c r="G10">
        <f>12*([1]Brown!$W$138-[1]Brown!$W$108)/[1]Brown!$S$1</f>
        <v>3.0687409751755501</v>
      </c>
      <c r="H10" t="s">
        <v>39</v>
      </c>
      <c r="I10" t="s">
        <v>39</v>
      </c>
      <c r="J10" t="s">
        <v>39</v>
      </c>
      <c r="K10" t="s">
        <v>39</v>
      </c>
    </row>
    <row r="11" spans="1:11" x14ac:dyDescent="0.2">
      <c r="A11" s="4">
        <v>42278</v>
      </c>
      <c r="B11">
        <f>12*([1]Ruda!$FK$339-[1]Ruda!$FK$285)/[1]Ruda!$FK$2</f>
        <v>3.0788423169348236</v>
      </c>
      <c r="C11">
        <f>12*([1]Ruda!$FL$339-[1]Ruda!$FL$285)/[1]Ruda!$FL$2</f>
        <v>1.1020900274815293</v>
      </c>
      <c r="D11">
        <f>12*([1]Ruda!$FM$339-[1]Ruda!$FM$285)/[1]Ruda!$FM$2</f>
        <v>9.7224089129992128E-2</v>
      </c>
      <c r="E11">
        <f>12*([1]Ruda!$FN$339-[1]Ruda!$FN$285)/[1]Ruda!$FN$2</f>
        <v>1.2041500922332236</v>
      </c>
      <c r="F11">
        <f>12*([1]Ruda!$FO$339-[1]Ruda!$FO$285)/[1]Ruda!$FO$2</f>
        <v>1.8045242977973726</v>
      </c>
      <c r="G11">
        <f>12*([1]Brown!$W$154-[1]Brown!$W$138)/[1]Brown!$S$1</f>
        <v>1.1923568390861452</v>
      </c>
      <c r="H11" t="s">
        <v>39</v>
      </c>
      <c r="I11" t="s">
        <v>39</v>
      </c>
      <c r="J11" t="s">
        <v>39</v>
      </c>
      <c r="K11" t="s">
        <v>39</v>
      </c>
    </row>
    <row r="12" spans="1:11" x14ac:dyDescent="0.2">
      <c r="A12" s="4">
        <v>42309</v>
      </c>
      <c r="B12">
        <f>12*([1]Ruda!$FK$352-[1]Ruda!$FK$339)/[1]Ruda!$FK$2</f>
        <v>1.5299248731884787</v>
      </c>
      <c r="C12">
        <f>12*([1]Ruda!$FL$352-[1]Ruda!$FL$339)/[1]Ruda!$FL$2</f>
        <v>0</v>
      </c>
      <c r="D12">
        <f>12*([1]Ruda!$FM$352-[1]Ruda!$FM$339)/[1]Ruda!$FM$2</f>
        <v>0</v>
      </c>
      <c r="E12">
        <f>12*([1]Ruda!$FN$352-[1]Ruda!$FN$339)/[1]Ruda!$FN$2</f>
        <v>0</v>
      </c>
      <c r="F12">
        <f>12*([1]Ruda!$FO$352-[1]Ruda!$FO$339)/[1]Ruda!$FO$2</f>
        <v>0</v>
      </c>
      <c r="G12">
        <v>0</v>
      </c>
      <c r="H12" t="s">
        <v>39</v>
      </c>
      <c r="I12" t="s">
        <v>39</v>
      </c>
      <c r="J12" t="s">
        <v>39</v>
      </c>
      <c r="K12" t="s">
        <v>39</v>
      </c>
    </row>
    <row r="13" spans="1:11" x14ac:dyDescent="0.2">
      <c r="A13" s="4">
        <v>42339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39</v>
      </c>
      <c r="I13" t="s">
        <v>39</v>
      </c>
      <c r="J13" t="s">
        <v>39</v>
      </c>
      <c r="K13" t="s">
        <v>39</v>
      </c>
    </row>
    <row r="14" spans="1:11" x14ac:dyDescent="0.2">
      <c r="A14" s="4">
        <v>42370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39</v>
      </c>
      <c r="I14" t="s">
        <v>39</v>
      </c>
      <c r="J14" t="s">
        <v>39</v>
      </c>
      <c r="K14" t="s">
        <v>39</v>
      </c>
    </row>
    <row r="15" spans="1:11" x14ac:dyDescent="0.2">
      <c r="A15" s="4">
        <v>42401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39</v>
      </c>
      <c r="I15" t="s">
        <v>39</v>
      </c>
      <c r="J15" t="s">
        <v>39</v>
      </c>
      <c r="K15" t="s">
        <v>39</v>
      </c>
    </row>
    <row r="16" spans="1:11" x14ac:dyDescent="0.2">
      <c r="A16" s="4">
        <v>42430</v>
      </c>
      <c r="B16">
        <f>12*([2]Ruda!$FK$23-[2]Ruda!$FK$12)/[2]Ruda!$FK$2</f>
        <v>0</v>
      </c>
      <c r="C16">
        <f>12*([2]Ruda!$FL$23-[2]Ruda!$FL$12)/[2]Ruda!$FL$2</f>
        <v>0.26043228734166085</v>
      </c>
      <c r="D16">
        <f>12*([2]Ruda!$FM$23-[2]Ruda!$FM$12)/[2]Ruda!$FM$2</f>
        <v>0</v>
      </c>
      <c r="E16">
        <f>12*([2]Ruda!$FN$23-[2]Ruda!$FN$12)/[2]Ruda!$FN$2</f>
        <v>0.2711238547210385</v>
      </c>
      <c r="F16">
        <f>12*([2]Ruda!$FO$23-[2]Ruda!$FO$12)/[2]Ruda!$FO$2</f>
        <v>0.26166023319263776</v>
      </c>
      <c r="G16">
        <v>0</v>
      </c>
      <c r="H16" t="s">
        <v>39</v>
      </c>
      <c r="I16" t="s">
        <v>39</v>
      </c>
      <c r="J16" t="s">
        <v>39</v>
      </c>
      <c r="K16" t="s">
        <v>39</v>
      </c>
    </row>
    <row r="17" spans="1:11" x14ac:dyDescent="0.2">
      <c r="A17" s="4">
        <v>42461</v>
      </c>
      <c r="B17">
        <f>12*([2]Ruda!$FK$47-[2]Ruda!$FK$23)/[2]Ruda!$FK$2</f>
        <v>0</v>
      </c>
      <c r="C17">
        <f>12*([2]Ruda!$FL$47-[2]Ruda!$FL$23)/[2]Ruda!$FL$2</f>
        <v>1.4904974304469083</v>
      </c>
      <c r="D17">
        <f>12*([2]Ruda!$FM$47-[2]Ruda!$FM$23)/[2]Ruda!$FM$2</f>
        <v>0.85280360273307565</v>
      </c>
      <c r="E17">
        <f>12*([2]Ruda!$FN$47-[2]Ruda!$FN$23)/[2]Ruda!$FN$2</f>
        <v>0.88293433498599694</v>
      </c>
      <c r="F17">
        <f>12*([2]Ruda!$FO$47-[2]Ruda!$FO$23)/[2]Ruda!$FO$2</f>
        <v>2.0684675851007936</v>
      </c>
      <c r="G17">
        <f>12*([2]Brown!$W$13-[2]Brown!$W$12)/[2]Brown!$S$1</f>
        <v>1.9819998021973341E-3</v>
      </c>
      <c r="H17" t="s">
        <v>39</v>
      </c>
      <c r="I17" t="s">
        <v>39</v>
      </c>
      <c r="J17" t="s">
        <v>39</v>
      </c>
      <c r="K17" t="s">
        <v>39</v>
      </c>
    </row>
    <row r="18" spans="1:11" x14ac:dyDescent="0.2">
      <c r="A18" s="4">
        <v>42491</v>
      </c>
      <c r="B18">
        <f>12*([2]Ruda!$FK$66-[2]Ruda!$FK$47)/[2]Ruda!$FK$2</f>
        <v>1.036117114581717</v>
      </c>
      <c r="C18">
        <f>12*([2]Ruda!$FL$66-[2]Ruda!$FL$47)/[2]Ruda!$FL$2</f>
        <v>0.19096891463098176</v>
      </c>
      <c r="D18">
        <f>12*([2]Ruda!$FM$66-[2]Ruda!$FM$47)/[2]Ruda!$FM$2</f>
        <v>1.0587338270713422</v>
      </c>
      <c r="E18">
        <f>12*([2]Ruda!$FN$66-[2]Ruda!$FN$47)/[2]Ruda!$FN$2</f>
        <v>0.94734573239772324</v>
      </c>
      <c r="F18">
        <f>12*([2]Ruda!$FO$66-[2]Ruda!$FO$47)/[2]Ruda!$FO$2</f>
        <v>0</v>
      </c>
      <c r="G18">
        <f>12*([2]Brown!$W$25-[2]Brown!$W$13)/[2]Brown!$S$1</f>
        <v>0.55435466323805282</v>
      </c>
      <c r="H18" t="s">
        <v>39</v>
      </c>
      <c r="I18" t="s">
        <v>39</v>
      </c>
      <c r="J18" t="s">
        <v>39</v>
      </c>
      <c r="K18" t="s">
        <v>39</v>
      </c>
    </row>
    <row r="19" spans="1:11" x14ac:dyDescent="0.2">
      <c r="A19" s="4">
        <v>42522</v>
      </c>
      <c r="B19">
        <f>12*([2]Ruda!$FK$114-[2]Ruda!$FK$66)/[2]Ruda!$FK$2</f>
        <v>1.3920792850533643</v>
      </c>
      <c r="C19">
        <f>12*([2]Ruda!$FL$114-[2]Ruda!$FL$66)/[2]Ruda!$FL$2</f>
        <v>3.2364781614503109</v>
      </c>
      <c r="D19">
        <f>12*([2]Ruda!$FM$114-[2]Ruda!$FM$66)/[2]Ruda!$FM$2</f>
        <v>1.9418065558060698</v>
      </c>
      <c r="E19">
        <f>12*([2]Ruda!$FN$114-[2]Ruda!$FN$66)/[2]Ruda!$FN$2</f>
        <v>2.5116864304240623</v>
      </c>
      <c r="F19">
        <f>12*([2]Ruda!$FO$114-[2]Ruda!$FO$66)/[2]Ruda!$FO$2</f>
        <v>1.2900550384727183</v>
      </c>
      <c r="G19">
        <f>12*([2]Brown!$W$57-[2]Brown!$W$25)/[2]Brown!$S$1</f>
        <v>2.9413267160644958</v>
      </c>
      <c r="H19" t="s">
        <v>39</v>
      </c>
      <c r="I19" t="s">
        <v>39</v>
      </c>
      <c r="J19" t="s">
        <v>39</v>
      </c>
      <c r="K19" t="s">
        <v>39</v>
      </c>
    </row>
    <row r="20" spans="1:11" x14ac:dyDescent="0.2">
      <c r="A20" s="4">
        <v>42552</v>
      </c>
      <c r="B20">
        <f>12*([2]Ruda!$FK$174-[2]Ruda!$FK$114)/[2]Ruda!$FK$2</f>
        <v>0.74209286220653847</v>
      </c>
      <c r="C20">
        <f>12*([2]Ruda!$FL$174-[2]Ruda!$FL$114)/[2]Ruda!$FL$2</f>
        <v>3.1072585608556054</v>
      </c>
      <c r="D20">
        <f>12*([2]Ruda!$FM$174-[2]Ruda!$FM$114)/[2]Ruda!$FM$2</f>
        <v>3.1761047756667109</v>
      </c>
      <c r="E20">
        <f>12*([2]Ruda!$FN$174-[2]Ruda!$FN$114)/[2]Ruda!$FN$2</f>
        <v>3.5829235618176827</v>
      </c>
      <c r="F20">
        <f>12*([2]Ruda!$FO$174-[2]Ruda!$FO$114)/[2]Ruda!$FO$2</f>
        <v>2.1675383866620526</v>
      </c>
      <c r="G20">
        <f>12*([2]Brown!$W$96-[2]Brown!$W$57)/[2]Brown!$S$1</f>
        <v>3.2727920087033922</v>
      </c>
      <c r="H20" t="s">
        <v>39</v>
      </c>
      <c r="I20" t="s">
        <v>39</v>
      </c>
      <c r="J20" t="s">
        <v>39</v>
      </c>
      <c r="K20" t="s">
        <v>39</v>
      </c>
    </row>
    <row r="21" spans="1:11" x14ac:dyDescent="0.2">
      <c r="A21" s="4">
        <v>42583</v>
      </c>
      <c r="B21">
        <f>12*([2]Ruda!$FK$230-[2]Ruda!$FK$174)/[2]Ruda!$FK$2</f>
        <v>1.4418342211949267</v>
      </c>
      <c r="C21">
        <f>12*([2]Ruda!$FL$230-[2]Ruda!$FL$174)/[2]Ruda!$FL$2</f>
        <v>0.4232909892272394</v>
      </c>
      <c r="D21">
        <f>12*([2]Ruda!$FM$230-[2]Ruda!$FM$174)/[2]Ruda!$FM$2</f>
        <v>3.5324181951069202</v>
      </c>
      <c r="E21">
        <f>12*([2]Ruda!$FN$230-[2]Ruda!$FN$174)/[2]Ruda!$FN$2</f>
        <v>3.6598616405319295</v>
      </c>
      <c r="F21">
        <f>12*([2]Ruda!$FO$230-[2]Ruda!$FO$174)/[2]Ruda!$FO$2</f>
        <v>2.2417972739212622</v>
      </c>
      <c r="G21">
        <f>12*([2]Brown!$W$128-[2]Brown!$W$96)/[2]Brown!$S$1</f>
        <v>3.1617881515181478</v>
      </c>
      <c r="H21" t="s">
        <v>39</v>
      </c>
      <c r="I21" t="s">
        <v>39</v>
      </c>
      <c r="J21" t="s">
        <v>39</v>
      </c>
      <c r="K21" t="s">
        <v>39</v>
      </c>
    </row>
    <row r="22" spans="1:11" x14ac:dyDescent="0.2">
      <c r="A22" s="4">
        <v>42614</v>
      </c>
      <c r="B22">
        <f>12*([2]Ruda!$FK$271-[2]Ruda!$FK$230)/[2]Ruda!$FK$2</f>
        <v>1.5201103175446988</v>
      </c>
      <c r="C22">
        <f>12*([2]Ruda!$FL$271-[2]Ruda!$FL$230)/[2]Ruda!$FL$2</f>
        <v>0.88376881379828576</v>
      </c>
      <c r="D22">
        <f>12*([2]Ruda!$FM$271-[2]Ruda!$FM$230)/[2]Ruda!$FM$2</f>
        <v>3.4805752506637511</v>
      </c>
      <c r="E22">
        <f>12*([2]Ruda!$FN$271-[2]Ruda!$FN$230)/[2]Ruda!$FN$2</f>
        <v>1.744415983032968</v>
      </c>
      <c r="F22">
        <f>12*([2]Ruda!$FO$271-[2]Ruda!$FO$230)/[2]Ruda!$FO$2</f>
        <v>3.2753907609103963</v>
      </c>
      <c r="G22">
        <f>12*([2]Brown!$W$152-[2]Brown!$W$128)/[2]Brown!$S$1</f>
        <v>1.9175432697062613</v>
      </c>
      <c r="H22" t="s">
        <v>39</v>
      </c>
      <c r="I22" t="s">
        <v>39</v>
      </c>
      <c r="J22" t="s">
        <v>39</v>
      </c>
      <c r="K22" t="s">
        <v>39</v>
      </c>
    </row>
    <row r="23" spans="1:11" x14ac:dyDescent="0.2">
      <c r="A23" s="4">
        <v>42644</v>
      </c>
      <c r="B23">
        <f>12*([2]Ruda!$FK$301-[2]Ruda!$FK$271)/[2]Ruda!$FK$2</f>
        <v>3.2781419311108757</v>
      </c>
      <c r="C23">
        <f>12*([2]Ruda!$FL$301-[2]Ruda!$FL$271)/[2]Ruda!$FL$2</f>
        <v>0.55332643288484429</v>
      </c>
      <c r="D23">
        <f>12*([2]Ruda!$FM$301-[2]Ruda!$FM$271)/[2]Ruda!$FM$2</f>
        <v>0</v>
      </c>
      <c r="E23">
        <f>12*([2]Ruda!$FN$301-[2]Ruda!$FN$271)/[2]Ruda!$FN$2</f>
        <v>0</v>
      </c>
      <c r="F23">
        <f>12*([2]Ruda!$FO$301-[2]Ruda!$FO$271)/[2]Ruda!$FO$2</f>
        <v>0</v>
      </c>
      <c r="G23">
        <v>0</v>
      </c>
      <c r="H23" t="s">
        <v>39</v>
      </c>
      <c r="I23" t="s">
        <v>39</v>
      </c>
      <c r="J23" t="s">
        <v>39</v>
      </c>
      <c r="K23" t="s">
        <v>39</v>
      </c>
    </row>
    <row r="24" spans="1:11" x14ac:dyDescent="0.2">
      <c r="A24" s="4">
        <v>42675</v>
      </c>
      <c r="B24">
        <f>12*([2]Ruda!$FK$317-[2]Ruda!$FK$301)/[2]Ruda!$FK$2</f>
        <v>2.1722373718293175</v>
      </c>
      <c r="C24">
        <f>12*([2]Ruda!$FL$317-[2]Ruda!$FL$301)/[2]Ruda!$FL$2</f>
        <v>0</v>
      </c>
      <c r="D24">
        <f>12*([2]Ruda!$FM$317-[2]Ruda!$FM$301)/[2]Ruda!$FM$2</f>
        <v>0</v>
      </c>
      <c r="E24">
        <f>12*([2]Ruda!$FN$317-[2]Ruda!$FN$301)/[2]Ruda!$FN$2</f>
        <v>0</v>
      </c>
      <c r="F24">
        <f>12*([2]Ruda!$FO$317-[2]Ruda!$FO$301)/[2]Ruda!$FO$2</f>
        <v>0</v>
      </c>
      <c r="G24">
        <v>0</v>
      </c>
      <c r="H24" t="s">
        <v>39</v>
      </c>
      <c r="I24" t="s">
        <v>39</v>
      </c>
      <c r="J24" t="s">
        <v>39</v>
      </c>
      <c r="K24" t="s">
        <v>39</v>
      </c>
    </row>
    <row r="25" spans="1:11" x14ac:dyDescent="0.2">
      <c r="A25" s="4">
        <v>42705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39</v>
      </c>
      <c r="I25" t="s">
        <v>39</v>
      </c>
      <c r="J25" t="s">
        <v>39</v>
      </c>
      <c r="K25" t="s">
        <v>39</v>
      </c>
    </row>
    <row r="26" spans="1:11" x14ac:dyDescent="0.2">
      <c r="A26" s="4">
        <v>42736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39</v>
      </c>
      <c r="I26" t="s">
        <v>39</v>
      </c>
      <c r="J26" t="s">
        <v>39</v>
      </c>
      <c r="K26" t="s">
        <v>39</v>
      </c>
    </row>
    <row r="27" spans="1:11" x14ac:dyDescent="0.2">
      <c r="A27" s="4">
        <v>42767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39</v>
      </c>
      <c r="I27" t="s">
        <v>39</v>
      </c>
      <c r="J27" t="s">
        <v>39</v>
      </c>
      <c r="K27" t="s">
        <v>39</v>
      </c>
    </row>
    <row r="28" spans="1:11" x14ac:dyDescent="0.2">
      <c r="A28" s="4">
        <v>42795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39</v>
      </c>
      <c r="I28" t="s">
        <v>39</v>
      </c>
      <c r="J28" t="s">
        <v>39</v>
      </c>
      <c r="K28" t="s">
        <v>39</v>
      </c>
    </row>
    <row r="29" spans="1:11" x14ac:dyDescent="0.2">
      <c r="A29" s="4">
        <v>42826</v>
      </c>
      <c r="B29">
        <f>12*([3]Ruda!$FK$49-[3]Ruda!$FK$12)/[3]Ruda!$FK$2</f>
        <v>1.5081422927723582</v>
      </c>
      <c r="C29">
        <f>12*([3]Ruda!$FL$49-[3]Ruda!$FL$12)/[3]Ruda!$FL$2</f>
        <v>1.2787352361941617</v>
      </c>
      <c r="D29">
        <f>12*([3]Ruda!$FM$49-[3]Ruda!$FM$12)/[3]Ruda!$FM$2</f>
        <v>0.47833837981321536</v>
      </c>
      <c r="E29">
        <f>12*([3]Ruda!$FN$49-[3]Ruda!$FN$12)/[3]Ruda!$FN$2</f>
        <v>0.67836406262022342</v>
      </c>
      <c r="F29">
        <f>12*([3]Ruda!$FO$49-[3]Ruda!$FO$12)/[3]Ruda!$FO$2</f>
        <v>0.94643577124169687</v>
      </c>
      <c r="G29">
        <v>0</v>
      </c>
      <c r="H29" t="s">
        <v>39</v>
      </c>
      <c r="I29" t="s">
        <v>39</v>
      </c>
      <c r="J29" t="s">
        <v>39</v>
      </c>
      <c r="K29" t="s">
        <v>39</v>
      </c>
    </row>
    <row r="30" spans="1:11" x14ac:dyDescent="0.2">
      <c r="A30" s="4">
        <v>42856</v>
      </c>
      <c r="B30">
        <v>0</v>
      </c>
      <c r="C30">
        <v>0</v>
      </c>
      <c r="D30">
        <v>0</v>
      </c>
      <c r="E30">
        <v>0</v>
      </c>
      <c r="F30">
        <v>0</v>
      </c>
      <c r="G30">
        <f>12*([3]Brown!$W$16-[3]Brown!$W$12)/[3]Brown!$S$1</f>
        <v>8.7397883493225595E-2</v>
      </c>
      <c r="H30" t="s">
        <v>39</v>
      </c>
      <c r="I30" t="s">
        <v>39</v>
      </c>
      <c r="J30" t="s">
        <v>39</v>
      </c>
      <c r="K30" t="s">
        <v>39</v>
      </c>
    </row>
    <row r="31" spans="1:11" x14ac:dyDescent="0.2">
      <c r="A31" s="4">
        <v>42887</v>
      </c>
      <c r="B31">
        <f>12*([3]Ruda!$FK$98-[3]Ruda!$FK$49)/[3]Ruda!$FK$2</f>
        <v>1.7403834780712217</v>
      </c>
      <c r="C31">
        <f>12*([3]Ruda!$FL$98-[3]Ruda!$FL$49)/[3]Ruda!$FL$2</f>
        <v>1.2266301150086256</v>
      </c>
      <c r="D31">
        <f>12*([3]Ruda!$FM$98-[3]Ruda!$FM$49)/[3]Ruda!$FM$2</f>
        <v>1.7325029173126254</v>
      </c>
      <c r="E31">
        <f>12*([3]Ruda!$FN$98-[3]Ruda!$FN$49)/[3]Ruda!$FN$2</f>
        <v>3.5024763374533157</v>
      </c>
      <c r="F31">
        <f>12*([3]Ruda!$FO$98-[3]Ruda!$FO$49)/[3]Ruda!$FO$2</f>
        <v>2.1243821801315006</v>
      </c>
      <c r="G31">
        <f>12*([3]Brown!$W$47-[3]Brown!$W$16)/[3]Brown!$S$1</f>
        <v>2.5685530610226488</v>
      </c>
      <c r="H31" t="s">
        <v>39</v>
      </c>
      <c r="I31" t="s">
        <v>39</v>
      </c>
      <c r="J31" t="s">
        <v>39</v>
      </c>
      <c r="K31" t="s">
        <v>39</v>
      </c>
    </row>
    <row r="32" spans="1:11" x14ac:dyDescent="0.2">
      <c r="A32" s="4">
        <v>42917</v>
      </c>
      <c r="B32">
        <f>12*([3]Ruda!$FK$159-[3]Ruda!$FK$98)/[3]Ruda!$FK$2</f>
        <v>5.639697913317096E-2</v>
      </c>
      <c r="C32">
        <f>12*([3]Ruda!$FL$159-[3]Ruda!$FL$98)/[3]Ruda!$FL$2</f>
        <v>2.7021592682758198</v>
      </c>
      <c r="D32">
        <f>12*([3]Ruda!$FM$159-[3]Ruda!$FM$98)/[3]Ruda!$FM$2</f>
        <v>3.7717952193926658</v>
      </c>
      <c r="E32">
        <f>12*([3]Ruda!$FN$159-[3]Ruda!$FN$98)/[3]Ruda!$FN$2</f>
        <v>3.4736258939095799</v>
      </c>
      <c r="F32">
        <f>12*([3]Ruda!$FO$159-[3]Ruda!$FO$98)/[3]Ruda!$FO$2</f>
        <v>3.1252484679966468</v>
      </c>
      <c r="G32">
        <f>12*([3]Brown!$W$72-[3]Brown!$W$47)/[3]Brown!$S$1</f>
        <v>2.0743586193254866</v>
      </c>
      <c r="H32" t="s">
        <v>39</v>
      </c>
      <c r="I32" t="s">
        <v>39</v>
      </c>
      <c r="J32" t="s">
        <v>39</v>
      </c>
      <c r="K32" t="s">
        <v>39</v>
      </c>
    </row>
    <row r="33" spans="1:11" x14ac:dyDescent="0.2">
      <c r="A33" s="4">
        <v>42948</v>
      </c>
      <c r="B33">
        <f>12*([3]Ruda!$FK$206-[3]Ruda!$FK$159)/[3]Ruda!$FK$2</f>
        <v>1.5973239754203545</v>
      </c>
      <c r="C33">
        <f>12*([3]Ruda!$FL$206-[3]Ruda!$FL$159)/[3]Ruda!$FL$2</f>
        <v>2.8860417401037646</v>
      </c>
      <c r="D33">
        <f>12*([3]Ruda!$FM$206-[3]Ruda!$FM$159)/[3]Ruda!$FM$2</f>
        <v>2.138805016256681</v>
      </c>
      <c r="E33">
        <f>12*([3]Ruda!$FN$206-[3]Ruda!$FN$159)/[3]Ruda!$FN$2</f>
        <v>4.1834881861661852</v>
      </c>
      <c r="F33">
        <f>12*([3]Ruda!$FO$206-[3]Ruda!$FO$159)/[3]Ruda!$FO$2</f>
        <v>1.0642488281519713</v>
      </c>
      <c r="G33">
        <f>12*([3]Brown!$W$108-[3]Brown!$W$72)/[3]Brown!$S$1</f>
        <v>3.2275145880723959</v>
      </c>
      <c r="H33" t="s">
        <v>39</v>
      </c>
      <c r="I33" t="s">
        <v>39</v>
      </c>
      <c r="J33" t="s">
        <v>39</v>
      </c>
      <c r="K33" t="s">
        <v>39</v>
      </c>
    </row>
    <row r="34" spans="1:11" x14ac:dyDescent="0.2">
      <c r="A34" s="4">
        <v>42979</v>
      </c>
      <c r="B34">
        <f>12*([3]Ruda!$FK$246-[3]Ruda!$FK$206)/[3]Ruda!$FK$2</f>
        <v>1.3770826018564133</v>
      </c>
      <c r="C34">
        <f>12*([3]Ruda!$FL$246-[3]Ruda!$FL$206)/[3]Ruda!$FL$2</f>
        <v>0.60592011754188446</v>
      </c>
      <c r="D34">
        <f>12*([3]Ruda!$FM$246-[3]Ruda!$FM$206)/[3]Ruda!$FM$2</f>
        <v>1.8438458875286643</v>
      </c>
      <c r="E34">
        <f>12*([3]Ruda!$FN$246-[3]Ruda!$FN$206)/[3]Ruda!$FN$2</f>
        <v>3.029302996978041</v>
      </c>
      <c r="F34">
        <f>12*([3]Ruda!$FO$246-[3]Ruda!$FO$206)/[3]Ruda!$FO$2</f>
        <v>1.8358757646691235</v>
      </c>
      <c r="G34">
        <f>12*([3]Brown!$W$141-[3]Brown!$W$108)/[3]Brown!$S$1</f>
        <v>2.9200197804371477</v>
      </c>
      <c r="H34" t="s">
        <v>39</v>
      </c>
      <c r="I34" t="s">
        <v>39</v>
      </c>
      <c r="J34" t="s">
        <v>39</v>
      </c>
      <c r="K34" t="s">
        <v>39</v>
      </c>
    </row>
    <row r="35" spans="1:11" x14ac:dyDescent="0.2">
      <c r="A35" s="4">
        <v>43009</v>
      </c>
      <c r="B35">
        <f>12*([3]Ruda!$FK$302-[3]Ruda!$FK$246)/[3]Ruda!$FK$2</f>
        <v>2.2795884324393336</v>
      </c>
      <c r="C35">
        <f>12*([3]Ruda!$FL$302-[3]Ruda!$FL$246)/[3]Ruda!$FL$2</f>
        <v>1.7974904046623883</v>
      </c>
      <c r="D35">
        <f>12*([3]Ruda!$FM$302-[3]Ruda!$FM$246)/[3]Ruda!$FM$2</f>
        <v>1.5367646835655329</v>
      </c>
      <c r="E35">
        <f>12*([3]Ruda!$FN$302-[3]Ruda!$FN$246)/[3]Ruda!$FN$2</f>
        <v>0.19144242460072236</v>
      </c>
      <c r="F35">
        <f>12*([3]Ruda!$FO$302-[3]Ruda!$FO$246)/[3]Ruda!$FO$2</f>
        <v>2.0055199481216341</v>
      </c>
      <c r="G35">
        <f>12*([3]Brown!$W$151-[3]Brown!$W$141)/[3]Brown!$S$1</f>
        <v>0.83772129364058889</v>
      </c>
      <c r="H35" t="s">
        <v>39</v>
      </c>
      <c r="I35" t="s">
        <v>39</v>
      </c>
      <c r="J35" t="s">
        <v>39</v>
      </c>
      <c r="K35" t="s">
        <v>39</v>
      </c>
    </row>
    <row r="36" spans="1:11" x14ac:dyDescent="0.2">
      <c r="A36" s="4">
        <v>43040</v>
      </c>
      <c r="B36">
        <f>12*([3]Ruda!$FK$322-[3]Ruda!$FK$302)/[3]Ruda!$FK$2</f>
        <v>2.8345568057890582</v>
      </c>
      <c r="C36">
        <f>12*([3]Ruda!$FL$322-[3]Ruda!$FL$302)/[3]Ruda!$FL$2</f>
        <v>0</v>
      </c>
      <c r="D36">
        <f>12*([3]Ruda!$FM$322-[3]Ruda!$FM$302)/[3]Ruda!$FM$2</f>
        <v>0</v>
      </c>
      <c r="E36">
        <f>12*([3]Ruda!$FN$322-[3]Ruda!$FN$302)/[3]Ruda!$FN$2</f>
        <v>0</v>
      </c>
      <c r="F36">
        <f>12*([3]Ruda!$FO$322-[3]Ruda!$FO$302)/[3]Ruda!$FO$2</f>
        <v>0</v>
      </c>
      <c r="G36">
        <v>0</v>
      </c>
      <c r="H36" t="s">
        <v>39</v>
      </c>
      <c r="I36" t="s">
        <v>39</v>
      </c>
      <c r="J36" t="s">
        <v>39</v>
      </c>
      <c r="K36" t="s">
        <v>39</v>
      </c>
    </row>
    <row r="37" spans="1:11" x14ac:dyDescent="0.2">
      <c r="A37" s="4">
        <v>43070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39</v>
      </c>
      <c r="I37" t="s">
        <v>39</v>
      </c>
      <c r="J37" t="s">
        <v>39</v>
      </c>
      <c r="K37" t="s">
        <v>39</v>
      </c>
    </row>
    <row r="38" spans="1:11" x14ac:dyDescent="0.2">
      <c r="A38" s="4">
        <v>43101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39</v>
      </c>
      <c r="K38" t="s">
        <v>39</v>
      </c>
    </row>
    <row r="39" spans="1:11" x14ac:dyDescent="0.2">
      <c r="A39" s="4">
        <v>43132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39</v>
      </c>
      <c r="K39" t="s">
        <v>39</v>
      </c>
    </row>
    <row r="40" spans="1:11" x14ac:dyDescent="0.2">
      <c r="A40" s="4">
        <v>43160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39</v>
      </c>
      <c r="K40" t="s">
        <v>39</v>
      </c>
    </row>
    <row r="41" spans="1:11" x14ac:dyDescent="0.2">
      <c r="A41" s="4">
        <v>43191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39</v>
      </c>
      <c r="K41" t="s">
        <v>39</v>
      </c>
    </row>
    <row r="42" spans="1:11" x14ac:dyDescent="0.2">
      <c r="A42" s="4">
        <v>43221</v>
      </c>
      <c r="B42">
        <f>12*([4]Ruda!$FK$64-[4]Ruda!$FK$12)/[4]Ruda!$FK$2</f>
        <v>0.10311622162178083</v>
      </c>
      <c r="C42">
        <f>12*([4]Ruda!$FL$64-[4]Ruda!$FL$12)/[4]Ruda!$FL$2</f>
        <v>0.97700578398595217</v>
      </c>
      <c r="D42">
        <f>12*([4]Ruda!$FM$64-[4]Ruda!$FM$12)/[4]Ruda!$FM$2</f>
        <v>2.1714792575359767</v>
      </c>
      <c r="E42">
        <f>12*([4]Ruda!$FN$64-[4]Ruda!$FN$12)/[4]Ruda!$FN$2</f>
        <v>1.4637885132383479</v>
      </c>
      <c r="F42">
        <f>12*([4]Ruda!$FO$64-[4]Ruda!$FO$12)/[4]Ruda!$FO$2</f>
        <v>2.0170691477739373</v>
      </c>
      <c r="G42">
        <f>12*([4]Brown!$W$29-[4]Brown!$W$12)/[4]Brown!$S$1</f>
        <v>2.2452615962812792</v>
      </c>
      <c r="H42">
        <f>12*([4]AntholzE!$AH$20-[4]AntholzE!$AH$12)/[4]AntholzE!$AH$2</f>
        <v>0.91625521000320986</v>
      </c>
      <c r="I42">
        <f>12*([4]AntholzW!$W$21-[4]AntholzW!$W$13)/[4]AntholzW!$Y$2</f>
        <v>0.65409836065574667</v>
      </c>
      <c r="J42" t="s">
        <v>39</v>
      </c>
      <c r="K42" t="s">
        <v>39</v>
      </c>
    </row>
    <row r="43" spans="1:11" x14ac:dyDescent="0.2">
      <c r="A43" s="4">
        <v>43252</v>
      </c>
      <c r="B43">
        <f>12*([4]Ruda!$FK$135-[4]Ruda!$FK$64)/[4]Ruda!$FK$2</f>
        <v>0</v>
      </c>
      <c r="C43">
        <f>12*([4]Ruda!$FL$135-[4]Ruda!$FL$64)/[4]Ruda!$FL$2</f>
        <v>1.2506941900479969</v>
      </c>
      <c r="D43">
        <f>12*([4]Ruda!$FM$135-[4]Ruda!$FM$64)/[4]Ruda!$FM$2</f>
        <v>1.6040587525420742</v>
      </c>
      <c r="E43">
        <f>12*([4]Ruda!$FN$135-[4]Ruda!$FN$64)/[4]Ruda!$FN$2</f>
        <v>2.2846831595577899</v>
      </c>
      <c r="F43">
        <f>12*([4]Ruda!$FO$135-[4]Ruda!$FO$64)/[4]Ruda!$FO$2</f>
        <v>2.6233334972301163</v>
      </c>
      <c r="G43">
        <f>12*([4]Brown!$W$61-[4]Brown!$W$29)/[4]Brown!$S$1</f>
        <v>3.0258016022154082</v>
      </c>
      <c r="H43">
        <f>12*([4]AntholzE!$AH$31-[4]AntholzE!$AH$20)/[4]AntholzE!$AH$2</f>
        <v>1.4675857646681665</v>
      </c>
      <c r="I43">
        <f>12*([4]AntholzW!$W$34-[4]AntholzW!$W$21)/[4]AntholzW!$Y$2</f>
        <v>1.2857704918032788</v>
      </c>
      <c r="J43" t="s">
        <v>39</v>
      </c>
      <c r="K43" t="s">
        <v>39</v>
      </c>
    </row>
    <row r="44" spans="1:11" x14ac:dyDescent="0.2">
      <c r="A44" s="4">
        <v>43282</v>
      </c>
      <c r="B44">
        <f>12*([4]Ruda!$FK$197-[4]Ruda!$FK$135)/[4]Ruda!$FK$2</f>
        <v>0</v>
      </c>
      <c r="C44">
        <f>12*([4]Ruda!$FL$197-[4]Ruda!$FL$135)/[4]Ruda!$FL$2</f>
        <v>4.586425734242388</v>
      </c>
      <c r="D44">
        <f>12*([4]Ruda!$FM$197-[4]Ruda!$FM$135)/[4]Ruda!$FM$2</f>
        <v>3.021045040391404</v>
      </c>
      <c r="E44">
        <f>12*([4]Ruda!$FN$197-[4]Ruda!$FN$135)/[4]Ruda!$FN$2</f>
        <v>3.3256001748281561</v>
      </c>
      <c r="F44">
        <f>12*([4]Ruda!$FO$197-[4]Ruda!$FO$135)/[4]Ruda!$FO$2</f>
        <v>3.3873208704682467</v>
      </c>
      <c r="G44">
        <f>12*([4]Brown!$W$92-[4]Brown!$W$61)/[4]Brown!$S$1</f>
        <v>3.8222984867965577</v>
      </c>
      <c r="H44">
        <f>12*([4]AntholzE!$AH$62-[4]AntholzE!$AH$31)/[4]AntholzE!$AH$2</f>
        <v>5.6435395960243593</v>
      </c>
      <c r="I44">
        <f>12*([4]AntholzW!$W$66-[4]AntholzW!$W$34)/[4]AntholzW!$Y$2</f>
        <v>6.0851803278688514</v>
      </c>
      <c r="J44" t="s">
        <v>39</v>
      </c>
      <c r="K44" t="s">
        <v>39</v>
      </c>
    </row>
    <row r="45" spans="1:11" x14ac:dyDescent="0.2">
      <c r="A45" s="4">
        <v>43313</v>
      </c>
      <c r="B45">
        <f>12*([4]Ruda!$FK$248-[4]Ruda!$FK$197)/[4]Ruda!$FK$2</f>
        <v>0</v>
      </c>
      <c r="C45">
        <f>12*([4]Ruda!$FL$248-[4]Ruda!$FL$197)/[4]Ruda!$FL$2</f>
        <v>2.3448452470906762</v>
      </c>
      <c r="D45">
        <f>12*([4]Ruda!$FM$248-[4]Ruda!$FM$197)/[4]Ruda!$FM$2</f>
        <v>4.1830364597609133</v>
      </c>
      <c r="E45">
        <f>12*([4]Ruda!$FN$248-[4]Ruda!$FN$197)/[4]Ruda!$FN$2</f>
        <v>2.6129118444338282</v>
      </c>
      <c r="F45">
        <f>12*([4]Ruda!$FO$248-[4]Ruda!$FO$197)/[4]Ruda!$FO$2</f>
        <v>3.6963799137449471</v>
      </c>
      <c r="G45">
        <f>12*([4]Brown!$W$134-[4]Brown!$W$92)/[4]Brown!$S$1</f>
        <v>3.3470813964988624</v>
      </c>
      <c r="H45">
        <f>12*([4]AntholzE!$AH$85-[4]AntholzE!$AH$62)/[4]AntholzE!$AH$2</f>
        <v>4.0586085283744815</v>
      </c>
      <c r="I45">
        <f>12*([4]AntholzW!$W$91-[4]AntholzW!$W$66)/[4]AntholzW!$Y$2</f>
        <v>4.066131147540978</v>
      </c>
      <c r="J45" t="s">
        <v>39</v>
      </c>
      <c r="K45" t="s">
        <v>39</v>
      </c>
    </row>
    <row r="46" spans="1:11" x14ac:dyDescent="0.2">
      <c r="A46" s="4">
        <v>43344</v>
      </c>
      <c r="B46">
        <f>12*([4]Ruda!$FK$315-[4]Ruda!$FK$248)/[4]Ruda!$FK$2</f>
        <v>0</v>
      </c>
      <c r="C46">
        <f>12*([4]Ruda!$FL$315-[4]Ruda!$FL$248)/[4]Ruda!$FL$2</f>
        <v>0.68544694370755788</v>
      </c>
      <c r="D46">
        <f>12*([4]Ruda!$FM$315-[4]Ruda!$FM$248)/[4]Ruda!$FM$2</f>
        <v>4.3300742041729876</v>
      </c>
      <c r="E46">
        <f>12*([4]Ruda!$FN$315-[4]Ruda!$FN$248)/[4]Ruda!$FN$2</f>
        <v>3.4585849076196831</v>
      </c>
      <c r="F46">
        <f>12*([4]Ruda!$FO$315-[4]Ruda!$FO$248)/[4]Ruda!$FO$2</f>
        <v>2.9364032684785015</v>
      </c>
      <c r="G46">
        <f>12*([4]Brown!$W$162-[4]Brown!$W$134)/[4]Brown!$S$1</f>
        <v>2.1209771535950956</v>
      </c>
      <c r="H46">
        <f>12*([4]AntholzE!$AH$104-[4]AntholzE!$AH$85)/[4]AntholzE!$AH$2</f>
        <v>3.1194613658223802</v>
      </c>
      <c r="I46">
        <f>12*([4]AntholzW!$W$109-[4]AntholzW!$W$91)/[4]AntholzW!$Y$2</f>
        <v>2.1271475409836156</v>
      </c>
      <c r="J46" t="s">
        <v>39</v>
      </c>
      <c r="K46" t="s">
        <v>39</v>
      </c>
    </row>
    <row r="47" spans="1:11" x14ac:dyDescent="0.2">
      <c r="A47" s="4">
        <v>43374</v>
      </c>
      <c r="B47">
        <f>12*([4]Ruda!$FK$326-[4]Ruda!$FK$315)/[4]Ruda!$FK$2</f>
        <v>0</v>
      </c>
      <c r="C47">
        <f>12*([4]Ruda!$FL$326-[4]Ruda!$FL$315)/[4]Ruda!$FL$2</f>
        <v>0</v>
      </c>
      <c r="D47">
        <f>12*([4]Ruda!$FM$326-[4]Ruda!$FM$315)/[4]Ruda!$FM$2</f>
        <v>0.52744681329361831</v>
      </c>
      <c r="E47">
        <f>12*([4]Ruda!$FN$326-[4]Ruda!$FN$315)/[4]Ruda!$FN$2</f>
        <v>0</v>
      </c>
      <c r="F47">
        <f>12*([4]Ruda!$FO$326-[4]Ruda!$FO$315)/[4]Ruda!$FO$2</f>
        <v>0.48146970642887776</v>
      </c>
      <c r="G47">
        <v>0</v>
      </c>
      <c r="H47">
        <v>0</v>
      </c>
      <c r="I47">
        <v>0</v>
      </c>
      <c r="J47" t="s">
        <v>39</v>
      </c>
      <c r="K47" t="s">
        <v>39</v>
      </c>
    </row>
    <row r="48" spans="1:11" x14ac:dyDescent="0.2">
      <c r="A48" s="4">
        <v>43405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39</v>
      </c>
      <c r="K48" t="s">
        <v>39</v>
      </c>
    </row>
    <row r="49" spans="1:11" x14ac:dyDescent="0.2">
      <c r="A49" s="4">
        <v>43435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39</v>
      </c>
      <c r="K49" t="s">
        <v>39</v>
      </c>
    </row>
    <row r="50" spans="1:11" x14ac:dyDescent="0.2">
      <c r="A50" s="4">
        <v>43466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39</v>
      </c>
      <c r="K50" t="s">
        <v>39</v>
      </c>
    </row>
    <row r="51" spans="1:11" x14ac:dyDescent="0.2">
      <c r="A51" s="4">
        <v>43497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39</v>
      </c>
      <c r="K51" t="s">
        <v>39</v>
      </c>
    </row>
    <row r="52" spans="1:11" x14ac:dyDescent="0.2">
      <c r="A52" s="4">
        <v>43525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39</v>
      </c>
      <c r="K52" t="s">
        <v>39</v>
      </c>
    </row>
    <row r="53" spans="1:11" x14ac:dyDescent="0.2">
      <c r="A53" s="4">
        <v>43556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39</v>
      </c>
      <c r="K53" t="s">
        <v>39</v>
      </c>
    </row>
    <row r="54" spans="1:11" x14ac:dyDescent="0.2">
      <c r="A54" s="4">
        <v>43586</v>
      </c>
      <c r="B54">
        <f>12*([5]Ruda!$FP$44-[5]Ruda!$FP$11)/[5]Ruda!$FP$2</f>
        <v>9.4088381496842177E-2</v>
      </c>
      <c r="C54">
        <f>12*([5]Ruda!$FQ$44-[5]Ruda!$FQ$11)/[5]Ruda!$FQ$2</f>
        <v>1.1351763530059429</v>
      </c>
      <c r="D54">
        <f>12*([5]Ruda!$FR$44-[5]Ruda!$FR$11)/[5]Ruda!$FR$2</f>
        <v>0.68681461803358623</v>
      </c>
      <c r="E54">
        <f>12*([5]Ruda!$FS$44-[5]Ruda!$FS$11)/[5]Ruda!$FS$2</f>
        <v>1.9395273694557631</v>
      </c>
      <c r="F54">
        <f>12*([5]Ruda!$FT$44-[5]Ruda!$FT$11)/[5]Ruda!$FT$2</f>
        <v>1.8210106192528961</v>
      </c>
      <c r="G54">
        <f>12*([5]Brown!$W$29-[5]Brown!$W$12)/[5]Brown!$S$1</f>
        <v>1.375353575314014</v>
      </c>
      <c r="H54">
        <f>12*([5]AntholzE!$AH$18-[5]AntholzE!$AH$13)/[5]AntholzE!$AH$1</f>
        <v>0.99320294966335154</v>
      </c>
      <c r="I54">
        <v>0</v>
      </c>
      <c r="J54" t="s">
        <v>39</v>
      </c>
      <c r="K54" t="s">
        <v>39</v>
      </c>
    </row>
    <row r="55" spans="1:11" x14ac:dyDescent="0.2">
      <c r="A55" s="4">
        <v>43617</v>
      </c>
      <c r="B55">
        <f>12*([5]Ruda!$FP$99-[5]Ruda!$FP$44)/[5]Ruda!$FP$2</f>
        <v>4.3647932543244821</v>
      </c>
      <c r="C55">
        <f>12*([5]Ruda!$FQ$99-[5]Ruda!$FQ$44)/[5]Ruda!$FQ$2</f>
        <v>2.5954306521985617</v>
      </c>
      <c r="D55">
        <f>12*([5]Ruda!$FR$99-[5]Ruda!$FR$44)/[5]Ruda!$FR$2</f>
        <v>2.0057550621606151</v>
      </c>
      <c r="E55">
        <f>12*([5]Ruda!$FS$99-[5]Ruda!$FS$44)/[5]Ruda!$FS$2</f>
        <v>4.1034120893476489</v>
      </c>
      <c r="F55">
        <f>12*([5]Ruda!$FT$99-[5]Ruda!$FT$44)/[5]Ruda!$FT$2</f>
        <v>0.46994097654556782</v>
      </c>
      <c r="G55">
        <f>12*([5]Brown!$W$47-[5]Brown!$W$29)/[5]Brown!$S$1</f>
        <v>1.9731935515774897</v>
      </c>
      <c r="H55">
        <f>12*([5]AntholzE!$AH$28-[5]AntholzE!$AH$18)/[5]AntholzE!$AH$1</f>
        <v>1.9155177941647996</v>
      </c>
      <c r="I55">
        <f>12*([5]AntholzW!$W$13-[5]AntholzW!$W$11)/[5]AntholzW!$Y$2</f>
        <v>4.3278688524594133E-3</v>
      </c>
      <c r="J55" t="s">
        <v>39</v>
      </c>
      <c r="K55" t="s">
        <v>39</v>
      </c>
    </row>
    <row r="56" spans="1:11" x14ac:dyDescent="0.2">
      <c r="A56" s="4">
        <v>43647</v>
      </c>
      <c r="B56">
        <f>12*([5]Ruda!$FP$162-[5]Ruda!$FP$99)/[5]Ruda!$FP$2</f>
        <v>2.9127315906526992</v>
      </c>
      <c r="C56">
        <f>12*([5]Ruda!$FQ$162-[5]Ruda!$FQ$99)/[5]Ruda!$FQ$2</f>
        <v>4.2706206847892538</v>
      </c>
      <c r="D56">
        <f>12*([5]Ruda!$FR$162-[5]Ruda!$FR$99)/[5]Ruda!$FR$2</f>
        <v>2.7300379752437869</v>
      </c>
      <c r="E56">
        <f>12*([5]Ruda!$FS$162-[5]Ruda!$FS$99)/[5]Ruda!$FS$2</f>
        <v>2.6633545144809561</v>
      </c>
      <c r="F56">
        <f>12*([5]Ruda!$FT$162-[5]Ruda!$FT$99)/[5]Ruda!$FT$2</f>
        <v>2.5319207195631641</v>
      </c>
      <c r="G56">
        <f>12*([5]Brown!$W$71-[5]Brown!$W$47)/[5]Brown!$S$1</f>
        <v>2.677990307585798</v>
      </c>
      <c r="H56">
        <f>12*([5]AntholzE!$AH$50-[5]AntholzE!$AH$28)/[5]AntholzE!$AH$1</f>
        <v>3.7422571336966945</v>
      </c>
      <c r="I56">
        <f>12*([5]AntholzW!$W$34-[5]AntholzW!$W$13)/[5]AntholzW!$Y$2</f>
        <v>3.6674754098360647</v>
      </c>
      <c r="J56" t="s">
        <v>39</v>
      </c>
      <c r="K56" t="s">
        <v>39</v>
      </c>
    </row>
    <row r="57" spans="1:11" x14ac:dyDescent="0.2">
      <c r="A57" s="4">
        <v>43678</v>
      </c>
      <c r="B57">
        <f>12*([5]Ruda!$FP$194-[5]Ruda!$FP$162)/[5]Ruda!$FP$2</f>
        <v>2.3471246425249781</v>
      </c>
      <c r="C57">
        <f>12*([5]Ruda!$FQ$194-[5]Ruda!$FQ$162)/[5]Ruda!$FQ$2</f>
        <v>2.5238527605416867</v>
      </c>
      <c r="D57">
        <f>12*([5]Ruda!$FR$194-[5]Ruda!$FR$162)/[5]Ruda!$FR$2</f>
        <v>2.4352450171422531</v>
      </c>
      <c r="E57">
        <f>12*([5]Ruda!$FS$194-[5]Ruda!$FS$162)/[5]Ruda!$FS$2</f>
        <v>3.1298695343992953</v>
      </c>
      <c r="F57">
        <f>12*([5]Ruda!$FT$194-[5]Ruda!$FT$162)/[5]Ruda!$FT$2</f>
        <v>1.4580893294168182</v>
      </c>
      <c r="G57">
        <f>12*([5]Brown!$W$103-[5]Brown!$W$71)/[5]Brown!$S$1</f>
        <v>2.8931025615666108</v>
      </c>
      <c r="H57">
        <f>12*([5]AntholzE!$AH$67-[5]AntholzE!$AH$50)/[5]AntholzE!$AH$1</f>
        <v>3.3090413594100703</v>
      </c>
      <c r="I57">
        <f>12*([5]AntholzW!$W$50-[5]AntholzW!$W$34)/[5]AntholzW!$Y$2</f>
        <v>3.2017377049180329</v>
      </c>
      <c r="J57" t="s">
        <v>39</v>
      </c>
      <c r="K57" t="s">
        <v>39</v>
      </c>
    </row>
    <row r="58" spans="1:11" x14ac:dyDescent="0.2">
      <c r="A58" s="4">
        <v>43709</v>
      </c>
      <c r="B58">
        <f>12*([5]Ruda!$FP$243-[5]Ruda!$FP$194)/[5]Ruda!$FP$2</f>
        <v>2.0303571730091847</v>
      </c>
      <c r="C58">
        <f>12*([5]Ruda!$FQ$243-[5]Ruda!$FQ$194)/[5]Ruda!$FQ$2</f>
        <v>3.5941779166568413</v>
      </c>
      <c r="D58">
        <f>12*([5]Ruda!$FR$243-[5]Ruda!$FR$194)/[5]Ruda!$FR$2</f>
        <v>4.0644812390689991</v>
      </c>
      <c r="E58">
        <f>12*([5]Ruda!$FS$243-[5]Ruda!$FS$194)/[5]Ruda!$FS$2</f>
        <v>2.4153113668587958</v>
      </c>
      <c r="F58">
        <f>12*([5]Ruda!$FT$243-[5]Ruda!$FT$194)/[5]Ruda!$FT$2</f>
        <v>3.6179255413525997</v>
      </c>
      <c r="G58">
        <f>12*([5]Brown!$W$117-[5]Brown!$W$103)/[5]Brown!$S$1</f>
        <v>1.1276392048264268</v>
      </c>
      <c r="H58">
        <f>12*([5]AntholzE!$AH$83-[5]AntholzE!$AH$67)/[5]AntholzE!$AH$1</f>
        <v>2.7262584161590273</v>
      </c>
      <c r="I58">
        <f>12*([5]AntholzW!$W$71-[5]AntholzW!$W$50)/[5]AntholzW!$Y$2</f>
        <v>3.5081311475409831</v>
      </c>
      <c r="J58" t="s">
        <v>39</v>
      </c>
      <c r="K58" t="s">
        <v>39</v>
      </c>
    </row>
    <row r="59" spans="1:11" x14ac:dyDescent="0.2">
      <c r="A59" s="4">
        <v>43739</v>
      </c>
      <c r="B59">
        <f>12*([5]Ruda!$FP$251-[5]Ruda!$FP$243)/[5]Ruda!$FP$2</f>
        <v>0.42541270612283877</v>
      </c>
      <c r="C59">
        <f>12*([5]Ruda!$FQ$251-[5]Ruda!$FQ$243)/[5]Ruda!$FQ$2</f>
        <v>0</v>
      </c>
      <c r="D59">
        <f>12*([5]Ruda!$FR$251-[5]Ruda!$FR$243)/[5]Ruda!$FR$2</f>
        <v>0</v>
      </c>
      <c r="E59">
        <f>12*([5]Ruda!$FS$251-[5]Ruda!$FS$243)/[5]Ruda!$FS$2</f>
        <v>0.46303840466382179</v>
      </c>
      <c r="F59">
        <f>12*([5]Ruda!$FT$251-[5]Ruda!$FT$243)/[5]Ruda!$FT$2</f>
        <v>0.48605090259291167</v>
      </c>
      <c r="G59">
        <v>0</v>
      </c>
      <c r="H59">
        <v>0</v>
      </c>
      <c r="I59">
        <v>0</v>
      </c>
      <c r="J59" t="s">
        <v>39</v>
      </c>
      <c r="K59" t="s">
        <v>39</v>
      </c>
    </row>
    <row r="60" spans="1:11" x14ac:dyDescent="0.2">
      <c r="A60" s="4">
        <v>43770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39</v>
      </c>
      <c r="K60" t="s">
        <v>39</v>
      </c>
    </row>
    <row r="61" spans="1:11" x14ac:dyDescent="0.2">
      <c r="A61" s="4">
        <v>43800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39</v>
      </c>
      <c r="K61" t="s">
        <v>39</v>
      </c>
    </row>
    <row r="62" spans="1:11" x14ac:dyDescent="0.2">
      <c r="A62" s="4">
        <v>43831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39</v>
      </c>
      <c r="K62" t="s">
        <v>39</v>
      </c>
    </row>
    <row r="63" spans="1:11" x14ac:dyDescent="0.2">
      <c r="A63" s="4">
        <v>43862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39</v>
      </c>
      <c r="K63" t="s">
        <v>39</v>
      </c>
    </row>
    <row r="64" spans="1:11" x14ac:dyDescent="0.2">
      <c r="A64" s="4">
        <v>43891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39</v>
      </c>
      <c r="K64" t="s">
        <v>39</v>
      </c>
    </row>
    <row r="65" spans="1:11" x14ac:dyDescent="0.2">
      <c r="A65" s="4">
        <v>43922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39</v>
      </c>
      <c r="K65" t="s">
        <v>39</v>
      </c>
    </row>
    <row r="66" spans="1:11" x14ac:dyDescent="0.2">
      <c r="A66" s="4">
        <v>43952</v>
      </c>
      <c r="B66">
        <f>12*([6]Ruda!$FP$44-[6]Ruda!$FP$11)/[6]Ruda!$FP$2</f>
        <v>2.0746606465413668</v>
      </c>
      <c r="C66">
        <f>12*([6]Ruda!$FQ$44-[6]Ruda!$FQ$11)/[6]Ruda!$FQ$2</f>
        <v>1.6897398918054491</v>
      </c>
      <c r="D66">
        <f>12*([6]Ruda!$FR$44-[6]Ruda!$FR$11)/[6]Ruda!$FR$2</f>
        <v>1.212022960618947</v>
      </c>
      <c r="E66">
        <f>12*([6]Ruda!$FS$44-[6]Ruda!$FS$11)/[6]Ruda!$FS$2</f>
        <v>2.2888522810062595</v>
      </c>
      <c r="F66">
        <f>12*([6]Ruda!$FT$44-[6]Ruda!$FT$11)/[6]Ruda!$FT$2</f>
        <v>0.81369361525876571</v>
      </c>
      <c r="G66">
        <f>12*([6]Brown!$W$28-[6]Brown!$W$11)/[6]Brown!$S$1</f>
        <v>1.4034101473642566</v>
      </c>
      <c r="H66">
        <v>0</v>
      </c>
      <c r="I66">
        <v>0</v>
      </c>
      <c r="J66" t="s">
        <v>39</v>
      </c>
      <c r="K66" t="s">
        <v>39</v>
      </c>
    </row>
    <row r="67" spans="1:11" x14ac:dyDescent="0.2">
      <c r="A67" s="4">
        <v>43983</v>
      </c>
      <c r="B67">
        <f>12*([6]Ruda!$FP$116-[6]Ruda!$FP$44)/[6]Ruda!$FP$2</f>
        <v>2.8798084845950833</v>
      </c>
      <c r="C67">
        <f>12*([6]Ruda!$FQ$116-[6]Ruda!$FQ$44)/[6]Ruda!$FQ$2</f>
        <v>3.740444068211497</v>
      </c>
      <c r="D67">
        <f>12*([6]Ruda!$FR$116-[6]Ruda!$FR$44)/[6]Ruda!$FR$2</f>
        <v>3.2589641739007531</v>
      </c>
      <c r="E67">
        <f>12*([6]Ruda!$FS$116-[6]Ruda!$FS$44)/[6]Ruda!$FS$2</f>
        <v>3.3947572836033859</v>
      </c>
      <c r="F67">
        <f>12*([6]Ruda!$FT$116-[6]Ruda!$FT$44)/[6]Ruda!$FT$2</f>
        <v>2.6204708826976835</v>
      </c>
      <c r="G67">
        <f>12*([6]Brown!$W$60-[6]Brown!$W$28)/[6]Brown!$S$1</f>
        <v>3.5731895954900597</v>
      </c>
      <c r="H67">
        <f>12*([6]AntholzE!$AH$23-[6]AntholzE!$AH$11)/[6]AntholzE!$AH$1</f>
        <v>1.3307149727476715</v>
      </c>
      <c r="I67">
        <f>12*([6]AntholzW!$W$23-[6]AntholzW!$W$12)/[6]AntholzW!$Y$2</f>
        <v>1.4827540983606553</v>
      </c>
      <c r="J67" t="s">
        <v>39</v>
      </c>
      <c r="K67" t="s">
        <v>39</v>
      </c>
    </row>
    <row r="68" spans="1:11" x14ac:dyDescent="0.2">
      <c r="A68" s="4">
        <v>44013</v>
      </c>
      <c r="B68">
        <f>12*([6]Ruda!$FP$180-[6]Ruda!$FP$116)/[6]Ruda!$FP$2</f>
        <v>2.644255037195745</v>
      </c>
      <c r="C68">
        <f>12*([6]Ruda!$FQ$180-[6]Ruda!$FQ$116)/[6]Ruda!$FQ$2</f>
        <v>3.1251877497087559</v>
      </c>
      <c r="D68">
        <f>12*([6]Ruda!$FR$180-[6]Ruda!$FR$116)/[6]Ruda!$FR$2</f>
        <v>3.4773939996418415</v>
      </c>
      <c r="E68">
        <f>12*([6]Ruda!$FS$180-[6]Ruda!$FS$116)/[6]Ruda!$FS$2</f>
        <v>4.0218529764904245</v>
      </c>
      <c r="F68">
        <f>12*([6]Ruda!$FT$180-[6]Ruda!$FT$116)/[6]Ruda!$FT$2</f>
        <v>3.4361210607848283</v>
      </c>
      <c r="G68">
        <f>12*([6]Brown!$W$99-[6]Brown!$W$60)/[6]Brown!$S$1</f>
        <v>4.109593512016616</v>
      </c>
      <c r="H68">
        <f>12*([6]AntholzE!$AH$57-[6]AntholzE!$AH$23)/[6]AntholzE!$AH$1</f>
        <v>5.6809554344341135</v>
      </c>
      <c r="I68">
        <f>12*([6]AntholzW!$W$50-[6]AntholzW!$W$23)/[6]AntholzW!$Y$2</f>
        <v>5.0255737704918042</v>
      </c>
      <c r="J68" t="s">
        <v>39</v>
      </c>
      <c r="K68" t="s">
        <v>39</v>
      </c>
    </row>
    <row r="69" spans="1:11" x14ac:dyDescent="0.2">
      <c r="A69" s="4">
        <v>44044</v>
      </c>
      <c r="B69">
        <f>12*([6]Ruda!$FP$248-[6]Ruda!$FP$180)/[6]Ruda!$FP$2</f>
        <v>5.1967415614041528</v>
      </c>
      <c r="C69">
        <f>12*([6]Ruda!$FQ$248-[6]Ruda!$FQ$180)/[6]Ruda!$FQ$2</f>
        <v>1.8302601557003317</v>
      </c>
      <c r="D69">
        <f>12*([6]Ruda!$FR$248-[6]Ruda!$FR$180)/[6]Ruda!$FR$2</f>
        <v>3.8559449753534856</v>
      </c>
      <c r="E69">
        <f>12*([6]Ruda!$FS$248-[6]Ruda!$FS$180)/[6]Ruda!$FS$2</f>
        <v>2.3294966743230057</v>
      </c>
      <c r="F69">
        <f>12*([6]Ruda!$FT$248-[6]Ruda!$FT$180)/[6]Ruda!$FT$2</f>
        <v>3.4275128539493411</v>
      </c>
      <c r="G69">
        <f>12*([6]Brown!$W$132-[6]Brown!$W$99)/[6]Brown!$S$1</f>
        <v>4.1777410740777379</v>
      </c>
      <c r="H69">
        <f>12*([6]AntholzE!$AH$87-[6]AntholzE!$AH$57)/[6]AntholzE!$AH$1</f>
        <v>3.733889067008656</v>
      </c>
      <c r="I69">
        <f>12*([6]AntholzW!$W$76-[6]AntholzW!$W$50)/[6]AntholzW!$Y$2</f>
        <v>4.5724918032786883</v>
      </c>
      <c r="J69" t="s">
        <v>39</v>
      </c>
      <c r="K69" t="s">
        <v>39</v>
      </c>
    </row>
    <row r="70" spans="1:11" x14ac:dyDescent="0.2">
      <c r="A70" s="4">
        <v>44075</v>
      </c>
      <c r="B70">
        <f>12*([6]Ruda!$FP$297-[6]Ruda!$FP$248)/[6]Ruda!$FP$2</f>
        <v>2.5553739304326215</v>
      </c>
      <c r="C70">
        <f>12*([6]Ruda!$FQ$297-[6]Ruda!$FQ$248)/[6]Ruda!$FQ$2</f>
        <v>5.1996817351457123</v>
      </c>
      <c r="D70">
        <f>12*([6]Ruda!$FR$297-[6]Ruda!$FR$248)/[6]Ruda!$FR$2</f>
        <v>1.6445338363917539</v>
      </c>
      <c r="E70">
        <f>12*([6]Ruda!$FS$297-[6]Ruda!$FS$248)/[6]Ruda!$FS$2</f>
        <v>3.587833243085409</v>
      </c>
      <c r="F70">
        <f>12*([6]Ruda!$FT$297-[6]Ruda!$FT$248)/[6]Ruda!$FT$2</f>
        <v>2.6425381816738942</v>
      </c>
      <c r="G70">
        <f>12*([6]Brown!$W$136-[6]Brown!$W$132)/[6]Brown!$S$1</f>
        <v>0.22282662446840049</v>
      </c>
      <c r="H70">
        <f>12*([6]AntholzE!$AH$105-[6]AntholzE!$AH$87)/[6]AntholzE!$AH$1</f>
        <v>3.3171208720743821</v>
      </c>
      <c r="I70">
        <f>12*([6]AntholzW!$W$103-[6]AntholzW!$W$76)/[6]AntholzW!$Y$2</f>
        <v>4.2963934426229518</v>
      </c>
      <c r="J70" t="s">
        <v>39</v>
      </c>
      <c r="K70" t="s">
        <v>39</v>
      </c>
    </row>
    <row r="71" spans="1:11" x14ac:dyDescent="0.2">
      <c r="A71" s="4">
        <v>44105</v>
      </c>
      <c r="B71">
        <f>12*([6]Ruda!$FP$319-[6]Ruda!$FP$297)/[6]Ruda!$FP$2</f>
        <v>2.5097339797504823</v>
      </c>
      <c r="C71">
        <f>12*([6]Ruda!$FQ$319-[6]Ruda!$FQ$297)/[6]Ruda!$FQ$2</f>
        <v>0.44291663635792217</v>
      </c>
      <c r="D71">
        <f>12*([6]Ruda!$FR$319-[6]Ruda!$FR$297)/[6]Ruda!$FR$2</f>
        <v>0</v>
      </c>
      <c r="E71">
        <f>12*([6]Ruda!$FS$319-[6]Ruda!$FS$297)/[6]Ruda!$FS$2</f>
        <v>1.462501475331452</v>
      </c>
      <c r="F71">
        <f>12*([6]Ruda!$FT$319-[6]Ruda!$FT$297)/[6]Ruda!$FT$2</f>
        <v>0</v>
      </c>
      <c r="G71">
        <v>0</v>
      </c>
      <c r="H71">
        <v>0</v>
      </c>
      <c r="I71">
        <v>0</v>
      </c>
      <c r="J71" t="s">
        <v>39</v>
      </c>
      <c r="K71" t="s">
        <v>39</v>
      </c>
    </row>
    <row r="72" spans="1:11" x14ac:dyDescent="0.2">
      <c r="A72" s="4">
        <v>44136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39</v>
      </c>
      <c r="K72" t="s">
        <v>39</v>
      </c>
    </row>
    <row r="73" spans="1:11" x14ac:dyDescent="0.2">
      <c r="A73" s="4">
        <v>44166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39</v>
      </c>
      <c r="K73" t="s">
        <v>39</v>
      </c>
    </row>
    <row r="74" spans="1:11" x14ac:dyDescent="0.2">
      <c r="A74" s="4">
        <v>44197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39</v>
      </c>
      <c r="K74" t="s">
        <v>39</v>
      </c>
    </row>
    <row r="75" spans="1:11" x14ac:dyDescent="0.2">
      <c r="A75" s="4">
        <v>44228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39</v>
      </c>
      <c r="K75" t="s">
        <v>39</v>
      </c>
    </row>
    <row r="76" spans="1:11" x14ac:dyDescent="0.2">
      <c r="A76" s="4">
        <v>44256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39</v>
      </c>
      <c r="K76" t="s">
        <v>39</v>
      </c>
    </row>
    <row r="77" spans="1:11" x14ac:dyDescent="0.2">
      <c r="A77" s="4">
        <v>44287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f>12*([7]AntholzE!$AH$20-[7]AntholzE!$AH$11)/[7]AntholzE!$AH$1</f>
        <v>2.456237816764133</v>
      </c>
      <c r="I77">
        <v>0</v>
      </c>
      <c r="J77" t="s">
        <v>39</v>
      </c>
      <c r="K77" t="s">
        <v>39</v>
      </c>
    </row>
    <row r="78" spans="1:11" x14ac:dyDescent="0.2">
      <c r="A78" s="4">
        <v>44317</v>
      </c>
      <c r="B78">
        <f>12*([7]Ruda!$FP$23-[7]Ruda!$FP$12)/[7]Ruda!$FP$2</f>
        <v>0</v>
      </c>
      <c r="C78">
        <f>12*([7]Ruda!$FQ$23-[7]Ruda!$FQ$12)/[7]Ruda!$FQ$2</f>
        <v>0.29833734532981249</v>
      </c>
      <c r="D78">
        <f>12*([7]Ruda!$FR$23-[7]Ruda!$FR$12)/[7]Ruda!$FR$2</f>
        <v>9.9314076903649351E-3</v>
      </c>
      <c r="E78">
        <f>12*([7]Ruda!$FS$23-[7]Ruda!$FS$12)/[7]Ruda!$FS$2</f>
        <v>0.63922021110886862</v>
      </c>
      <c r="F78">
        <f>12*([7]Ruda!$FT$23-[7]Ruda!$FT$12)/[7]Ruda!$FT$2</f>
        <v>0.39132793514555531</v>
      </c>
      <c r="G78">
        <v>0</v>
      </c>
      <c r="H78">
        <f>12*([7]AntholzE!$AH$27-[7]AntholzE!$AH$20)/[7]AntholzE!$AH$1</f>
        <v>1.6187134502923994</v>
      </c>
      <c r="I78">
        <v>0</v>
      </c>
      <c r="J78" t="s">
        <v>39</v>
      </c>
      <c r="K78" t="s">
        <v>39</v>
      </c>
    </row>
    <row r="79" spans="1:11" x14ac:dyDescent="0.2">
      <c r="A79" s="4">
        <v>44348</v>
      </c>
      <c r="B79">
        <f>12*([7]Ruda!$FP$60-[7]Ruda!$FP$23)/[7]Ruda!$FP$2</f>
        <v>3.2185740752149203</v>
      </c>
      <c r="C79">
        <f>12*([7]Ruda!$FQ$60-[7]Ruda!$FQ$23)/[7]Ruda!$FQ$2</f>
        <v>1.4058906871939474</v>
      </c>
      <c r="D79">
        <f>12*([7]Ruda!$FR$60-[7]Ruda!$FR$23)/[7]Ruda!$FR$2</f>
        <v>1.5039876933588829</v>
      </c>
      <c r="E79">
        <f>12*([7]Ruda!$FS$60-[7]Ruda!$FS$23)/[7]Ruda!$FS$2</f>
        <v>1.870845463429136</v>
      </c>
      <c r="F79">
        <f>12*([7]Ruda!$FT$60-[7]Ruda!$FT$23)/[7]Ruda!$FT$2</f>
        <v>2.1062439251132448</v>
      </c>
      <c r="G79">
        <f>12*([7]Brown!$W$30-[7]Brown!$W$14)/[7]Brown!$S$1</f>
        <v>1.7911106715458411</v>
      </c>
      <c r="H79">
        <f>12*([7]AntholzE!$AH$44-[7]AntholzE!$AH$27)/[7]AntholzE!$AH$1</f>
        <v>2.5456140350877186</v>
      </c>
      <c r="I79">
        <f>12*([7]AntholzW!$W$22-[7]AntholzW!$W$11)/[7]AntholzW!$Y$2</f>
        <v>1.6874754098360663</v>
      </c>
      <c r="J79" t="s">
        <v>39</v>
      </c>
      <c r="K79" t="s">
        <v>39</v>
      </c>
    </row>
    <row r="80" spans="1:11" x14ac:dyDescent="0.2">
      <c r="A80" s="4">
        <v>44378</v>
      </c>
      <c r="B80">
        <f>12*([7]Ruda!$FP$114-[7]Ruda!$FP$60)/[7]Ruda!$FP$2</f>
        <v>3.6730254050369231</v>
      </c>
      <c r="C80">
        <f>12*([7]Ruda!$FQ$114-[7]Ruda!$FQ$60)/[7]Ruda!$FQ$2</f>
        <v>4.015909704427906</v>
      </c>
      <c r="D80">
        <f>12*([7]Ruda!$FR$114-[7]Ruda!$FR$60)/[7]Ruda!$FR$2</f>
        <v>2.2284982943727618</v>
      </c>
      <c r="E80">
        <f>12*([7]Ruda!$FS$114-[7]Ruda!$FS$60)/[7]Ruda!$FS$2</f>
        <v>4.0457769333560494</v>
      </c>
      <c r="F80">
        <f>12*([7]Ruda!$FT$114-[7]Ruda!$FT$60)/[7]Ruda!$FT$2</f>
        <v>3.7902178264187039</v>
      </c>
      <c r="G80">
        <f>12*([7]Brown!$W$67-[7]Brown!$W$30)/[7]Brown!$S$1</f>
        <v>3.7022094748293943</v>
      </c>
      <c r="H80">
        <f>12*([7]AntholzE!$AH$74-[7]AntholzE!$AH$44)/[7]AntholzE!$AH$1</f>
        <v>6.3948343079921983</v>
      </c>
      <c r="I80">
        <f>12*([7]AntholzW!$W$51-[7]AntholzW!$W$22)/[7]AntholzW!$Y$2</f>
        <v>5.5434098360655746</v>
      </c>
      <c r="J80" t="s">
        <v>39</v>
      </c>
      <c r="K80" t="s">
        <v>39</v>
      </c>
    </row>
    <row r="81" spans="1:11" x14ac:dyDescent="0.2">
      <c r="A81" s="4">
        <v>44409</v>
      </c>
      <c r="B81">
        <f>12*([7]Ruda!$FP$161-[7]Ruda!$FP$114)/[7]Ruda!$FP$2</f>
        <v>3.7133285748553631</v>
      </c>
      <c r="C81">
        <f>12*([7]Ruda!$FQ$161-[7]Ruda!$FQ$114)/[7]Ruda!$FQ$2</f>
        <v>3.9095510885209817</v>
      </c>
      <c r="D81">
        <f>12*([7]Ruda!$FR$161-[7]Ruda!$FR$114)/[7]Ruda!$FR$2</f>
        <v>3.0845603572962004</v>
      </c>
      <c r="E81">
        <f>12*([7]Ruda!$FS$161-[7]Ruda!$FS$114)/[7]Ruda!$FS$2</f>
        <v>3.1672885143666805</v>
      </c>
      <c r="F81">
        <f>12*([7]Ruda!$FT$161-[7]Ruda!$FT$114)/[7]Ruda!$FT$2</f>
        <v>2.2192211654305649</v>
      </c>
      <c r="G81">
        <f>12*([7]Brown!$W$102-[7]Brown!$W$67)/[7]Brown!$S$1</f>
        <v>3.6622846404905558</v>
      </c>
      <c r="H81">
        <f>12*([7]AntholzE!$AH$105-[7]AntholzE!$AH$74)/[7]AntholzE!$AH$1</f>
        <v>5.7097465886939567</v>
      </c>
      <c r="I81">
        <f>12*([7]AntholzW!$W$82-[7]AntholzW!$W$51)/[7]AntholzW!$Y$2</f>
        <v>6.537049180327867</v>
      </c>
      <c r="J81">
        <v>8.43</v>
      </c>
      <c r="K81">
        <v>7.66</v>
      </c>
    </row>
    <row r="82" spans="1:11" x14ac:dyDescent="0.2">
      <c r="A82" s="4">
        <v>44440</v>
      </c>
      <c r="B82">
        <f>12*([7]Ruda!$FP$200-[7]Ruda!$FP$161)/[7]Ruda!$FP$2</f>
        <v>3.8159380055567502</v>
      </c>
      <c r="C82">
        <f>12*([7]Ruda!$FQ$200-[7]Ruda!$FQ$161)/[7]Ruda!$FQ$2</f>
        <v>1.5527093046102973</v>
      </c>
      <c r="D82">
        <f>12*([7]Ruda!$FR$200-[7]Ruda!$FR$161)/[7]Ruda!$FR$2</f>
        <v>2.1183054251051834</v>
      </c>
      <c r="E82">
        <f>12*([7]Ruda!$FS$200-[7]Ruda!$FS$161)/[7]Ruda!$FS$2</f>
        <v>5.2793025659368249</v>
      </c>
      <c r="F82">
        <f>12*([7]Ruda!$FT$200-[7]Ruda!$FT$161)/[7]Ruda!$FT$2</f>
        <v>1.0110044867523149</v>
      </c>
      <c r="G82">
        <f>12*([7]Brown!$W$126-[7]Brown!$W$102)/[7]Brown!$S$1</f>
        <v>2.1344357630303623</v>
      </c>
      <c r="H82">
        <f>12*([7]AntholzE!$AH$122-[7]AntholzE!$AH$105)/[7]AntholzE!$AH$1</f>
        <v>3.2596491228070192</v>
      </c>
      <c r="I82">
        <f>12*([7]AntholzW!$W$97-[7]AntholzW!$W$82)/[7]AntholzW!$Y$2</f>
        <v>2.7257704918032775</v>
      </c>
      <c r="J82" t="s">
        <v>39</v>
      </c>
      <c r="K82" t="s">
        <v>39</v>
      </c>
    </row>
    <row r="83" spans="1:11" x14ac:dyDescent="0.2">
      <c r="A83" s="4">
        <v>44470</v>
      </c>
      <c r="B83">
        <f>12*([7]Ruda!$FP$203-[7]Ruda!$FP$200)/[7]Ruda!$FP$2</f>
        <v>1.0019939875904422E-2</v>
      </c>
      <c r="C83">
        <f>12*([7]Ruda!$FQ$203-[7]Ruda!$FQ$200)/[7]Ruda!$FQ$2</f>
        <v>0</v>
      </c>
      <c r="D83">
        <f>12*([7]Ruda!$FR$203-[7]Ruda!$FR$200)/[7]Ruda!$FR$2</f>
        <v>0</v>
      </c>
      <c r="E83">
        <f>12*([7]Ruda!$FS$203-[7]Ruda!$FS$200)/[7]Ruda!$FS$2</f>
        <v>9.3481758007266328E-3</v>
      </c>
      <c r="F83">
        <f>12*([7]Ruda!$FT$203-[7]Ruda!$FT$200)/[7]Ruda!$FT$2</f>
        <v>0</v>
      </c>
      <c r="G83">
        <v>0</v>
      </c>
      <c r="H83">
        <v>0</v>
      </c>
      <c r="I83">
        <v>0</v>
      </c>
      <c r="J83" t="s">
        <v>39</v>
      </c>
      <c r="K83" t="s">
        <v>39</v>
      </c>
    </row>
    <row r="84" spans="1:11" x14ac:dyDescent="0.2">
      <c r="A84" s="4">
        <v>44501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39</v>
      </c>
      <c r="K84" t="s">
        <v>39</v>
      </c>
    </row>
    <row r="85" spans="1:11" x14ac:dyDescent="0.2">
      <c r="A85" s="4">
        <v>44531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39</v>
      </c>
      <c r="K85" t="s">
        <v>39</v>
      </c>
    </row>
    <row r="86" spans="1:11" x14ac:dyDescent="0.2">
      <c r="A86" s="4">
        <v>44562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39</v>
      </c>
      <c r="K86" t="s">
        <v>39</v>
      </c>
    </row>
    <row r="87" spans="1:11" x14ac:dyDescent="0.2">
      <c r="A87" s="4">
        <v>44593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39</v>
      </c>
      <c r="K87" t="s">
        <v>39</v>
      </c>
    </row>
    <row r="88" spans="1:11" x14ac:dyDescent="0.2">
      <c r="A88" s="4">
        <v>44621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f>12*([8]AntholzE!$AH$19-[8]AntholzE!$AH$10)/[8]AntholzE!$AH$1</f>
        <v>1.4907407407407394</v>
      </c>
      <c r="I88">
        <v>0</v>
      </c>
      <c r="J88" t="s">
        <v>39</v>
      </c>
      <c r="K88" t="s">
        <v>39</v>
      </c>
    </row>
    <row r="89" spans="1:11" x14ac:dyDescent="0.2">
      <c r="A89" s="4">
        <v>44652</v>
      </c>
      <c r="B89">
        <f>12*([8]Ruda!$FP$64-[8]Ruda!$FP$11)/[8]Ruda!$FP$2</f>
        <v>2.2512679605058699</v>
      </c>
      <c r="C89">
        <f>12*([8]Ruda!$FQ$64-[8]Ruda!$FQ$11)/[8]Ruda!$FQ$2</f>
        <v>1.8404449870924624</v>
      </c>
      <c r="D89">
        <f>12*([8]Ruda!$FR$64-[8]Ruda!$FR$11)/[8]Ruda!$FR$2</f>
        <v>3.6765075734734936</v>
      </c>
      <c r="E89">
        <f>12*([8]Ruda!$FS$64-[8]Ruda!$FS$11)/[8]Ruda!$FS$2</f>
        <v>2.9327919983194177</v>
      </c>
      <c r="F89">
        <f>12*([8]Ruda!$FT$64-[8]Ruda!$FT$11)/[8]Ruda!$FT$2</f>
        <v>3.495692662957897</v>
      </c>
      <c r="G89">
        <f>12*([8]Brown!$W$31-[8]Brown!$W$12)/[8]Brown!$S$1</f>
        <v>1.9316308970428244</v>
      </c>
      <c r="H89">
        <f>12*([8]AntholzE!$AH$46-[8]AntholzE!$AH$19)/[8]AntholzE!$AH$1</f>
        <v>4.76686159844055</v>
      </c>
      <c r="I89">
        <v>0</v>
      </c>
      <c r="J89" t="s">
        <v>39</v>
      </c>
      <c r="K89" t="s">
        <v>39</v>
      </c>
    </row>
    <row r="90" spans="1:11" x14ac:dyDescent="0.2">
      <c r="A90" s="4">
        <v>44682</v>
      </c>
      <c r="B90">
        <f>12*([8]Ruda!$FP$93-[8]Ruda!$FP$64)/[8]Ruda!$FP$2</f>
        <v>2.4418151556259047</v>
      </c>
      <c r="C90">
        <f>12*([8]Ruda!$FQ$93-[8]Ruda!$FQ$64)/[8]Ruda!$FQ$2</f>
        <v>2.4098196416640456</v>
      </c>
      <c r="D90">
        <f>12*([8]Ruda!$FR$93-[8]Ruda!$FR$64)/[8]Ruda!$FR$2</f>
        <v>1.6271444506071424</v>
      </c>
      <c r="E90">
        <f>12*([8]Ruda!$FS$93-[8]Ruda!$FS$64)/[8]Ruda!$FS$2</f>
        <v>0</v>
      </c>
      <c r="F90">
        <f>12*([8]Ruda!$FT$93-[8]Ruda!$FT$64)/[8]Ruda!$FT$2</f>
        <v>3.0009333088408816</v>
      </c>
      <c r="G90">
        <f>12*([8]Brown!$W$45-[8]Brown!$W$31)/[8]Brown!$S$1</f>
        <v>1.358453169815053</v>
      </c>
      <c r="H90">
        <f>12*([8]AntholzE!$AH$68-[8]AntholzE!$AH$46)/[8]AntholzE!$AH$1</f>
        <v>3.6754385964912202</v>
      </c>
      <c r="I90">
        <f>12*([8]AntholzW!$W$20-[8]AntholzW!$W$11)/[8]AntholzW!$Y$2</f>
        <v>1.3904262295081991</v>
      </c>
      <c r="J90" t="s">
        <v>39</v>
      </c>
      <c r="K90" t="s">
        <v>39</v>
      </c>
    </row>
    <row r="91" spans="1:11" x14ac:dyDescent="0.2">
      <c r="A91" s="4">
        <v>44713</v>
      </c>
      <c r="B91">
        <f>12*([8]Ruda!$FP$130-[8]Ruda!$FP$93)/[8]Ruda!$FP$2</f>
        <v>1.8446169142269437</v>
      </c>
      <c r="C91">
        <f>12*([8]Ruda!$FQ$130-[8]Ruda!$FQ$93)/[8]Ruda!$FQ$2</f>
        <v>4.1632744758820976</v>
      </c>
      <c r="D91">
        <f>12*([8]Ruda!$FR$130-[8]Ruda!$FR$93)/[8]Ruda!$FR$2</f>
        <v>5.3307187081800373</v>
      </c>
      <c r="E91">
        <f>12*([8]Ruda!$FS$130-[8]Ruda!$FS$93)/[8]Ruda!$FS$2</f>
        <v>3.8753600113996738</v>
      </c>
      <c r="F91">
        <f>12*([8]Ruda!$FT$130-[8]Ruda!$FT$93)/[8]Ruda!$FT$2</f>
        <v>1.3365774492904881</v>
      </c>
      <c r="G91">
        <f>12*([8]Brown!$W$77-[8]Brown!$W$45)/[8]Brown!$S$1</f>
        <v>3.7191514192463657</v>
      </c>
      <c r="H91">
        <f>12*([8]AntholzE!$AH$98-[8]AntholzE!$AH$68)/[8]AntholzE!$AH$1</f>
        <v>5.5605263157894722</v>
      </c>
      <c r="I91">
        <f>12*([8]AntholzW!$W$23-[8]AntholzW!$W$20)/[8]AntholzW!$Y$2</f>
        <v>0.45550819672130871</v>
      </c>
      <c r="J91" t="s">
        <v>39</v>
      </c>
      <c r="K91" t="s">
        <v>39</v>
      </c>
    </row>
    <row r="92" spans="1:11" x14ac:dyDescent="0.2">
      <c r="A92" s="4">
        <v>44743</v>
      </c>
      <c r="B92">
        <f>12*([8]Ruda!$FP$188-[8]Ruda!$FP$130)/[8]Ruda!$FP$2</f>
        <v>3.2480027658011781</v>
      </c>
      <c r="C92">
        <f>12*([8]Ruda!$FQ$188-[8]Ruda!$FQ$130)/[8]Ruda!$FQ$2</f>
        <v>3.3696371505983933</v>
      </c>
      <c r="D92">
        <f>12*([8]Ruda!$FR$188-[8]Ruda!$FR$130)/[8]Ruda!$FR$2</f>
        <v>3.5916516479406173</v>
      </c>
      <c r="E92">
        <f>12*([8]Ruda!$FS$188-[8]Ruda!$FS$130)/[8]Ruda!$FS$2</f>
        <v>2.2536384557483169</v>
      </c>
      <c r="F92">
        <f>12*([8]Ruda!$FT$188-[8]Ruda!$FT$130)/[8]Ruda!$FT$2</f>
        <v>2.5074195647605704</v>
      </c>
      <c r="G92">
        <f>12*([8]Brown!$W$110-[8]Brown!$W$77)/[8]Brown!$S$1</f>
        <v>4.1419760656710523</v>
      </c>
      <c r="H92">
        <f>12*([8]AntholzE!$AH$128-[8]AntholzE!$AH$98)/[8]AntholzE!$AH$1</f>
        <v>5.0818713450292439</v>
      </c>
      <c r="I92">
        <f>12*([8]AntholzW!$W$54-[8]AntholzW!$W$23)/[8]AntholzW!$Y$2</f>
        <v>6.9399836065573801</v>
      </c>
      <c r="J92">
        <v>7.34</v>
      </c>
      <c r="K92">
        <v>6</v>
      </c>
    </row>
    <row r="93" spans="1:11" x14ac:dyDescent="0.2">
      <c r="A93" s="4">
        <v>44774</v>
      </c>
      <c r="B93">
        <f>12*([8]Ruda!$FP$242-[8]Ruda!$FP$188)/[8]Ruda!$FP$2</f>
        <v>3.1980823824425597</v>
      </c>
      <c r="C93">
        <f>12*([8]Ruda!$FQ$242-[8]Ruda!$FQ$188)/[8]Ruda!$FQ$2</f>
        <v>3.9329222296313948</v>
      </c>
      <c r="D93">
        <f>12*([8]Ruda!$FR$242-[8]Ruda!$FR$188)/[8]Ruda!$FR$2</f>
        <v>2.5986402004993736</v>
      </c>
      <c r="E93">
        <f>12*([8]Ruda!$FS$242-[8]Ruda!$FS$188)/[8]Ruda!$FS$2</f>
        <v>3.0361933359067943</v>
      </c>
      <c r="F93">
        <f>12*([8]Ruda!$FT$242-[8]Ruda!$FT$188)/[8]Ruda!$FT$2</f>
        <v>2.4031935012617853</v>
      </c>
      <c r="G93">
        <f>12*([8]Brown!$W$147-[8]Brown!$W$110)/[8]Brown!$S$1</f>
        <v>3.6568430422312312</v>
      </c>
      <c r="H93">
        <f>12*([8]AntholzE!$AH$159-[8]AntholzE!$AH$128)/[8]AntholzE!$AH$1</f>
        <v>7.4880116959064269</v>
      </c>
      <c r="I93">
        <f>12*([8]AntholzW!$W$85-[8]AntholzW!$W$54)/[8]AntholzW!$Y$2</f>
        <v>6.5163442622950773</v>
      </c>
      <c r="J93" t="s">
        <v>39</v>
      </c>
      <c r="K93" t="s">
        <v>39</v>
      </c>
    </row>
    <row r="94" spans="1:11" x14ac:dyDescent="0.2">
      <c r="A94" s="4">
        <v>44805</v>
      </c>
      <c r="B94">
        <f>12*([8]Ruda!$FP$286-[8]Ruda!$FP$242)/[8]Ruda!$FP$2</f>
        <v>3.9441542943192895</v>
      </c>
      <c r="C94">
        <f>12*([8]Ruda!$FQ$286-[8]Ruda!$FQ$242)/[8]Ruda!$FQ$2</f>
        <v>2.2899995156537227</v>
      </c>
      <c r="D94">
        <f>12*([8]Ruda!$FR$286-[8]Ruda!$FR$242)/[8]Ruda!$FR$2</f>
        <v>0.53905082740788757</v>
      </c>
      <c r="E94">
        <f>12*([8]Ruda!$FS$286-[8]Ruda!$FS$242)/[8]Ruda!$FS$2</f>
        <v>1.8116725855438711</v>
      </c>
      <c r="F94">
        <f>12*([8]Ruda!$FT$286-[8]Ruda!$FT$242)/[8]Ruda!$FT$2</f>
        <v>2.6109511899934619</v>
      </c>
      <c r="G94">
        <f>12*([8]Brown!$W$175-[8]Brown!$W$147)/[8]Brown!$S$1</f>
        <v>3.0507961625951969</v>
      </c>
      <c r="H94">
        <f>12*([8]AntholzE!$AH$183-[8]AntholzE!$AH$159)/[8]AntholzE!$AH$1</f>
        <v>5.0670565302144359</v>
      </c>
      <c r="I94">
        <f>12*([8]AntholzW!$W$109-[8]AntholzW!$W$85)/[8]AntholzW!$Y$2</f>
        <v>4.7536721311475416</v>
      </c>
      <c r="J94" t="s">
        <v>39</v>
      </c>
      <c r="K94" t="s">
        <v>39</v>
      </c>
    </row>
    <row r="95" spans="1:11" x14ac:dyDescent="0.2">
      <c r="A95" s="4">
        <v>44835</v>
      </c>
      <c r="B95">
        <f>12*([8]Ruda!$FP$300-[8]Ruda!$FP$286)/[8]Ruda!$FP$2</f>
        <v>0</v>
      </c>
      <c r="C95">
        <f>12*([8]Ruda!$FQ$300-[8]Ruda!$FQ$286)/[8]Ruda!$FQ$2</f>
        <v>0</v>
      </c>
      <c r="D95">
        <f>12*([8]Ruda!$FR$300-[8]Ruda!$FR$286)/[8]Ruda!$FR$2</f>
        <v>2.847390518993008</v>
      </c>
      <c r="E95">
        <f>12*([8]Ruda!$FS$300-[8]Ruda!$FS$286)/[8]Ruda!$FS$2</f>
        <v>0</v>
      </c>
      <c r="F95">
        <f>12*([8]Ruda!$FT$300-[8]Ruda!$FT$286)/[8]Ruda!$FT$2</f>
        <v>0</v>
      </c>
      <c r="G95">
        <v>0</v>
      </c>
      <c r="H95">
        <v>0</v>
      </c>
      <c r="I95">
        <v>0</v>
      </c>
      <c r="J95" t="s">
        <v>39</v>
      </c>
      <c r="K95" t="s">
        <v>39</v>
      </c>
    </row>
    <row r="96" spans="1:11" x14ac:dyDescent="0.2">
      <c r="A96" s="4">
        <v>44866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39</v>
      </c>
      <c r="K96" t="s">
        <v>39</v>
      </c>
    </row>
    <row r="97" spans="1:11" x14ac:dyDescent="0.2">
      <c r="A97" s="4">
        <v>44896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39</v>
      </c>
      <c r="K9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1652-B3F1-4889-9473-C7F2912FCB1D}">
  <dimension ref="A1:I97"/>
  <sheetViews>
    <sheetView topLeftCell="A15" zoomScale="173" workbookViewId="0">
      <selection activeCell="G80" sqref="G80"/>
    </sheetView>
  </sheetViews>
  <sheetFormatPr baseColWidth="10" defaultColWidth="8.83203125" defaultRowHeight="15" x14ac:dyDescent="0.2"/>
  <cols>
    <col min="1" max="1" width="10.6640625" bestFit="1" customWidth="1"/>
  </cols>
  <sheetData>
    <row r="1" spans="1:9" x14ac:dyDescent="0.2">
      <c r="A1" t="s">
        <v>64</v>
      </c>
      <c r="B1" t="s">
        <v>6</v>
      </c>
      <c r="C1" t="s">
        <v>7</v>
      </c>
      <c r="D1" t="s">
        <v>5</v>
      </c>
      <c r="E1" t="s">
        <v>8</v>
      </c>
      <c r="F1" t="s">
        <v>9</v>
      </c>
      <c r="G1" t="s">
        <v>25</v>
      </c>
      <c r="H1" t="s">
        <v>30</v>
      </c>
      <c r="I1" t="s">
        <v>31</v>
      </c>
    </row>
    <row r="2" spans="1:9" x14ac:dyDescent="0.2">
      <c r="A2" s="4">
        <v>42005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39</v>
      </c>
      <c r="I2" t="s">
        <v>39</v>
      </c>
    </row>
    <row r="3" spans="1:9" x14ac:dyDescent="0.2">
      <c r="A3" s="4">
        <v>42036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39</v>
      </c>
      <c r="I3" t="s">
        <v>39</v>
      </c>
    </row>
    <row r="4" spans="1:9" x14ac:dyDescent="0.2">
      <c r="A4" s="4">
        <v>42064</v>
      </c>
      <c r="B4">
        <v>1.2226978652543365</v>
      </c>
      <c r="C4">
        <v>1.6661011525850566</v>
      </c>
      <c r="D4">
        <v>0</v>
      </c>
      <c r="E4">
        <v>2.257795417672559E-2</v>
      </c>
      <c r="F4">
        <v>0.51177987969428862</v>
      </c>
      <c r="G4">
        <v>0</v>
      </c>
      <c r="H4" t="s">
        <v>39</v>
      </c>
      <c r="I4" t="s">
        <v>39</v>
      </c>
    </row>
    <row r="5" spans="1:9" x14ac:dyDescent="0.2">
      <c r="A5" s="4">
        <v>42095</v>
      </c>
      <c r="B5">
        <v>2.4442618620724388</v>
      </c>
      <c r="C5">
        <v>0.24292259449191136</v>
      </c>
      <c r="D5">
        <v>0.65289389452756352</v>
      </c>
      <c r="E5">
        <v>0</v>
      </c>
      <c r="F5">
        <v>2.0654908168001418</v>
      </c>
      <c r="G5">
        <v>1.0841182870141437</v>
      </c>
      <c r="H5" t="s">
        <v>39</v>
      </c>
      <c r="I5" t="s">
        <v>39</v>
      </c>
    </row>
    <row r="6" spans="1:9" x14ac:dyDescent="0.2">
      <c r="A6" s="4">
        <v>42125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39</v>
      </c>
      <c r="I6" t="s">
        <v>39</v>
      </c>
    </row>
    <row r="7" spans="1:9" x14ac:dyDescent="0.2">
      <c r="A7" s="4">
        <v>42156</v>
      </c>
      <c r="B7">
        <v>0.86534252347746099</v>
      </c>
      <c r="C7">
        <v>0.64034491463616006</v>
      </c>
      <c r="D7">
        <v>1.7271363764866912</v>
      </c>
      <c r="E7">
        <v>2.302443087293359</v>
      </c>
      <c r="F7">
        <v>1.0043116916512143</v>
      </c>
      <c r="G7">
        <v>1.4265176540401574</v>
      </c>
      <c r="H7" t="s">
        <v>39</v>
      </c>
      <c r="I7" t="s">
        <v>39</v>
      </c>
    </row>
    <row r="8" spans="1:9" x14ac:dyDescent="0.2">
      <c r="A8" s="4">
        <v>42186</v>
      </c>
      <c r="B8">
        <v>0.13680585154102065</v>
      </c>
      <c r="C8">
        <v>1.6498471098771035</v>
      </c>
      <c r="D8">
        <v>3.9759966407303495</v>
      </c>
      <c r="E8">
        <v>4.0687092607361102</v>
      </c>
      <c r="F8">
        <v>2.8219094380410761</v>
      </c>
      <c r="G8">
        <v>3.966124023340913</v>
      </c>
      <c r="H8" t="s">
        <v>39</v>
      </c>
      <c r="I8" t="s">
        <v>39</v>
      </c>
    </row>
    <row r="9" spans="1:9" x14ac:dyDescent="0.2">
      <c r="A9" s="4">
        <v>42217</v>
      </c>
      <c r="B9">
        <v>1.1633297870471355</v>
      </c>
      <c r="C9">
        <v>3.9780787893180682</v>
      </c>
      <c r="D9">
        <v>2.575632166665375</v>
      </c>
      <c r="E9">
        <v>2.1752146477040646</v>
      </c>
      <c r="F9">
        <v>2.2363709155882643</v>
      </c>
      <c r="G9">
        <v>3.5422015626545349</v>
      </c>
      <c r="H9" t="s">
        <v>39</v>
      </c>
      <c r="I9" t="s">
        <v>39</v>
      </c>
    </row>
    <row r="10" spans="1:9" x14ac:dyDescent="0.2">
      <c r="A10" s="4">
        <v>42248</v>
      </c>
      <c r="B10">
        <v>0</v>
      </c>
      <c r="C10">
        <v>2.0942393859701607</v>
      </c>
      <c r="D10">
        <v>1.9844298747896694</v>
      </c>
      <c r="E10">
        <v>3.2749510276713618</v>
      </c>
      <c r="F10">
        <v>3.0309112885962146</v>
      </c>
      <c r="G10">
        <v>3.0687409751755501</v>
      </c>
      <c r="H10" t="s">
        <v>39</v>
      </c>
      <c r="I10" t="s">
        <v>39</v>
      </c>
    </row>
    <row r="11" spans="1:9" x14ac:dyDescent="0.2">
      <c r="A11" s="4">
        <v>42278</v>
      </c>
      <c r="B11">
        <v>3.0788423169348236</v>
      </c>
      <c r="C11">
        <v>1.1020900274815293</v>
      </c>
      <c r="D11">
        <v>9.7224089129992128E-2</v>
      </c>
      <c r="E11">
        <v>1.2041500922332236</v>
      </c>
      <c r="F11">
        <v>1.8045242977973726</v>
      </c>
      <c r="G11">
        <v>1.1923568390861452</v>
      </c>
      <c r="H11" t="s">
        <v>39</v>
      </c>
      <c r="I11" t="s">
        <v>39</v>
      </c>
    </row>
    <row r="12" spans="1:9" x14ac:dyDescent="0.2">
      <c r="A12" s="4">
        <v>42309</v>
      </c>
      <c r="B12">
        <v>1.5299248731884787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39</v>
      </c>
      <c r="I12" t="s">
        <v>39</v>
      </c>
    </row>
    <row r="13" spans="1:9" x14ac:dyDescent="0.2">
      <c r="A13" s="4">
        <v>42339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39</v>
      </c>
      <c r="I13" t="s">
        <v>39</v>
      </c>
    </row>
    <row r="14" spans="1:9" x14ac:dyDescent="0.2">
      <c r="A14" s="4">
        <v>42370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39</v>
      </c>
      <c r="I14" t="s">
        <v>39</v>
      </c>
    </row>
    <row r="15" spans="1:9" x14ac:dyDescent="0.2">
      <c r="A15" s="4">
        <v>42401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39</v>
      </c>
      <c r="I15" t="s">
        <v>39</v>
      </c>
    </row>
    <row r="16" spans="1:9" x14ac:dyDescent="0.2">
      <c r="A16" s="4">
        <v>42430</v>
      </c>
      <c r="B16">
        <v>0</v>
      </c>
      <c r="C16">
        <v>0.26043228734166085</v>
      </c>
      <c r="D16">
        <v>0</v>
      </c>
      <c r="E16">
        <v>0.2711238547210385</v>
      </c>
      <c r="F16">
        <v>0.26166023319263776</v>
      </c>
      <c r="G16">
        <v>0</v>
      </c>
      <c r="H16" t="s">
        <v>39</v>
      </c>
      <c r="I16" t="s">
        <v>39</v>
      </c>
    </row>
    <row r="17" spans="1:9" x14ac:dyDescent="0.2">
      <c r="A17" s="4">
        <v>42461</v>
      </c>
      <c r="B17">
        <v>0</v>
      </c>
      <c r="C17">
        <v>1.4904974304469083</v>
      </c>
      <c r="D17">
        <v>0.85280360273307565</v>
      </c>
      <c r="E17">
        <v>0.88293433498599694</v>
      </c>
      <c r="F17">
        <v>2.0684675851007936</v>
      </c>
      <c r="G17">
        <v>1.9819998021973341E-3</v>
      </c>
      <c r="H17" t="s">
        <v>39</v>
      </c>
      <c r="I17" t="s">
        <v>39</v>
      </c>
    </row>
    <row r="18" spans="1:9" x14ac:dyDescent="0.2">
      <c r="A18" s="4">
        <v>42491</v>
      </c>
      <c r="B18">
        <v>1.036117114581717</v>
      </c>
      <c r="C18">
        <v>0.19096891463098176</v>
      </c>
      <c r="D18">
        <v>1.0587338270713422</v>
      </c>
      <c r="E18">
        <v>0.94734573239772324</v>
      </c>
      <c r="F18">
        <v>0</v>
      </c>
      <c r="G18">
        <v>0.55435466323805282</v>
      </c>
      <c r="H18" t="s">
        <v>39</v>
      </c>
      <c r="I18" t="s">
        <v>39</v>
      </c>
    </row>
    <row r="19" spans="1:9" x14ac:dyDescent="0.2">
      <c r="A19" s="4">
        <v>42522</v>
      </c>
      <c r="B19">
        <v>1.3920792850533643</v>
      </c>
      <c r="C19">
        <v>3.2364781614503109</v>
      </c>
      <c r="D19">
        <v>1.9418065558060698</v>
      </c>
      <c r="E19">
        <v>2.5116864304240623</v>
      </c>
      <c r="F19">
        <v>1.2900550384727183</v>
      </c>
      <c r="G19">
        <v>2.9413267160644958</v>
      </c>
      <c r="H19" t="s">
        <v>39</v>
      </c>
      <c r="I19" t="s">
        <v>39</v>
      </c>
    </row>
    <row r="20" spans="1:9" x14ac:dyDescent="0.2">
      <c r="A20" s="4">
        <v>42552</v>
      </c>
      <c r="B20">
        <v>0.74209286220653847</v>
      </c>
      <c r="C20">
        <v>3.1072585608556054</v>
      </c>
      <c r="D20">
        <v>3.1761047756667109</v>
      </c>
      <c r="E20">
        <v>3.5829235618176827</v>
      </c>
      <c r="F20">
        <v>2.1675383866620526</v>
      </c>
      <c r="G20">
        <v>3.2727920087033922</v>
      </c>
      <c r="H20" t="s">
        <v>39</v>
      </c>
      <c r="I20" t="s">
        <v>39</v>
      </c>
    </row>
    <row r="21" spans="1:9" x14ac:dyDescent="0.2">
      <c r="A21" s="4">
        <v>42583</v>
      </c>
      <c r="B21">
        <v>1.4418342211949267</v>
      </c>
      <c r="C21">
        <v>0.4232909892272394</v>
      </c>
      <c r="D21">
        <v>3.5324181951069202</v>
      </c>
      <c r="E21">
        <v>3.6598616405319295</v>
      </c>
      <c r="F21">
        <v>2.2417972739212622</v>
      </c>
      <c r="G21">
        <v>3.1617881515181478</v>
      </c>
      <c r="H21" t="s">
        <v>39</v>
      </c>
      <c r="I21" t="s">
        <v>39</v>
      </c>
    </row>
    <row r="22" spans="1:9" x14ac:dyDescent="0.2">
      <c r="A22" s="4">
        <v>42614</v>
      </c>
      <c r="B22">
        <v>1.5201103175446988</v>
      </c>
      <c r="C22">
        <v>0.88376881379828576</v>
      </c>
      <c r="D22">
        <v>3.4805752506637511</v>
      </c>
      <c r="E22">
        <v>1.744415983032968</v>
      </c>
      <c r="F22">
        <v>3.2753907609103963</v>
      </c>
      <c r="G22">
        <v>1.9175432697062613</v>
      </c>
      <c r="H22" t="s">
        <v>39</v>
      </c>
      <c r="I22" t="s">
        <v>39</v>
      </c>
    </row>
    <row r="23" spans="1:9" x14ac:dyDescent="0.2">
      <c r="A23" s="4">
        <v>42644</v>
      </c>
      <c r="B23">
        <v>3.2781419311108757</v>
      </c>
      <c r="C23">
        <v>0.55332643288484429</v>
      </c>
      <c r="D23">
        <v>0</v>
      </c>
      <c r="E23">
        <v>0</v>
      </c>
      <c r="F23">
        <v>0</v>
      </c>
      <c r="G23">
        <v>0</v>
      </c>
      <c r="H23" t="s">
        <v>39</v>
      </c>
      <c r="I23" t="s">
        <v>39</v>
      </c>
    </row>
    <row r="24" spans="1:9" x14ac:dyDescent="0.2">
      <c r="A24" s="4">
        <v>42675</v>
      </c>
      <c r="B24">
        <v>2.1722373718293175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39</v>
      </c>
      <c r="I24" t="s">
        <v>39</v>
      </c>
    </row>
    <row r="25" spans="1:9" x14ac:dyDescent="0.2">
      <c r="A25" s="4">
        <v>42705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39</v>
      </c>
      <c r="I25" t="s">
        <v>39</v>
      </c>
    </row>
    <row r="26" spans="1:9" x14ac:dyDescent="0.2">
      <c r="A26" s="4">
        <v>42736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39</v>
      </c>
      <c r="I26" t="s">
        <v>39</v>
      </c>
    </row>
    <row r="27" spans="1:9" x14ac:dyDescent="0.2">
      <c r="A27" s="4">
        <v>42767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39</v>
      </c>
      <c r="I27" t="s">
        <v>39</v>
      </c>
    </row>
    <row r="28" spans="1:9" x14ac:dyDescent="0.2">
      <c r="A28" s="4">
        <v>42795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39</v>
      </c>
      <c r="I28" t="s">
        <v>39</v>
      </c>
    </row>
    <row r="29" spans="1:9" x14ac:dyDescent="0.2">
      <c r="A29" s="4">
        <v>42826</v>
      </c>
      <c r="B29">
        <v>1.5081422927723582</v>
      </c>
      <c r="C29">
        <v>1.2787352361941617</v>
      </c>
      <c r="D29">
        <v>0.47833837981321536</v>
      </c>
      <c r="E29">
        <v>0.67836406262022342</v>
      </c>
      <c r="F29">
        <v>0.94643577124169687</v>
      </c>
      <c r="G29">
        <v>0</v>
      </c>
      <c r="H29" t="s">
        <v>39</v>
      </c>
      <c r="I29" t="s">
        <v>39</v>
      </c>
    </row>
    <row r="30" spans="1:9" x14ac:dyDescent="0.2">
      <c r="A30" s="4">
        <v>42856</v>
      </c>
      <c r="B30">
        <v>0</v>
      </c>
      <c r="C30">
        <v>0</v>
      </c>
      <c r="D30">
        <v>0</v>
      </c>
      <c r="E30">
        <v>0</v>
      </c>
      <c r="F30">
        <v>0</v>
      </c>
      <c r="G30">
        <v>8.7397883493225595E-2</v>
      </c>
      <c r="H30" t="s">
        <v>39</v>
      </c>
      <c r="I30" t="s">
        <v>39</v>
      </c>
    </row>
    <row r="31" spans="1:9" x14ac:dyDescent="0.2">
      <c r="A31" s="4">
        <v>42887</v>
      </c>
      <c r="B31">
        <v>1.7403834780712217</v>
      </c>
      <c r="C31">
        <v>1.2266301150086256</v>
      </c>
      <c r="D31">
        <v>1.7325029173126254</v>
      </c>
      <c r="E31">
        <v>3.5024763374533157</v>
      </c>
      <c r="F31">
        <v>2.1243821801315006</v>
      </c>
      <c r="G31">
        <v>2.5685530610226488</v>
      </c>
      <c r="H31" t="s">
        <v>39</v>
      </c>
      <c r="I31" t="s">
        <v>39</v>
      </c>
    </row>
    <row r="32" spans="1:9" x14ac:dyDescent="0.2">
      <c r="A32" s="4">
        <v>42917</v>
      </c>
      <c r="B32">
        <v>5.639697913317096E-2</v>
      </c>
      <c r="C32">
        <v>2.7021592682758198</v>
      </c>
      <c r="D32">
        <v>3.7717952193926658</v>
      </c>
      <c r="E32">
        <v>3.4736258939095799</v>
      </c>
      <c r="F32">
        <v>3.1252484679966468</v>
      </c>
      <c r="G32">
        <v>2.0743586193254866</v>
      </c>
      <c r="H32" t="s">
        <v>39</v>
      </c>
      <c r="I32" t="s">
        <v>39</v>
      </c>
    </row>
    <row r="33" spans="1:9" x14ac:dyDescent="0.2">
      <c r="A33" s="4">
        <v>42948</v>
      </c>
      <c r="B33">
        <v>1.5973239754203545</v>
      </c>
      <c r="C33">
        <v>2.8860417401037646</v>
      </c>
      <c r="D33">
        <v>2.138805016256681</v>
      </c>
      <c r="E33">
        <v>4.1834881861661852</v>
      </c>
      <c r="F33">
        <v>1.0642488281519713</v>
      </c>
      <c r="G33">
        <v>3.2275145880723959</v>
      </c>
      <c r="H33" t="s">
        <v>39</v>
      </c>
      <c r="I33" t="s">
        <v>39</v>
      </c>
    </row>
    <row r="34" spans="1:9" x14ac:dyDescent="0.2">
      <c r="A34" s="4">
        <v>42979</v>
      </c>
      <c r="B34">
        <v>1.3770826018564133</v>
      </c>
      <c r="C34">
        <v>0.60592011754188446</v>
      </c>
      <c r="D34">
        <v>1.8438458875286643</v>
      </c>
      <c r="E34">
        <v>3.029302996978041</v>
      </c>
      <c r="F34">
        <v>1.8358757646691235</v>
      </c>
      <c r="G34">
        <v>2.9200197804371477</v>
      </c>
      <c r="H34" t="s">
        <v>39</v>
      </c>
      <c r="I34" t="s">
        <v>39</v>
      </c>
    </row>
    <row r="35" spans="1:9" x14ac:dyDescent="0.2">
      <c r="A35" s="4">
        <v>43009</v>
      </c>
      <c r="B35">
        <v>2.2795884324393336</v>
      </c>
      <c r="C35">
        <v>1.7974904046623883</v>
      </c>
      <c r="D35">
        <v>1.5367646835655329</v>
      </c>
      <c r="E35">
        <v>0.19144242460072236</v>
      </c>
      <c r="F35">
        <v>2.0055199481216341</v>
      </c>
      <c r="G35">
        <v>0.83772129364058889</v>
      </c>
      <c r="H35" t="s">
        <v>39</v>
      </c>
      <c r="I35" t="s">
        <v>39</v>
      </c>
    </row>
    <row r="36" spans="1:9" x14ac:dyDescent="0.2">
      <c r="A36" s="4">
        <v>43040</v>
      </c>
      <c r="B36">
        <v>2.8345568057890582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39</v>
      </c>
      <c r="I36" t="s">
        <v>39</v>
      </c>
    </row>
    <row r="37" spans="1:9" x14ac:dyDescent="0.2">
      <c r="A37" s="4">
        <v>43070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39</v>
      </c>
      <c r="I37" t="s">
        <v>39</v>
      </c>
    </row>
    <row r="38" spans="1:9" x14ac:dyDescent="0.2">
      <c r="A38" s="4">
        <v>43101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 s="4">
        <v>43132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 s="4">
        <v>43160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 s="4">
        <v>43191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 s="4">
        <v>43221</v>
      </c>
      <c r="B42">
        <v>0.10311622162178083</v>
      </c>
      <c r="C42">
        <v>0.97700578398595217</v>
      </c>
      <c r="D42">
        <v>2.1714792575359767</v>
      </c>
      <c r="E42">
        <v>1.4637885132383479</v>
      </c>
      <c r="F42">
        <v>2.0170691477739373</v>
      </c>
      <c r="G42">
        <v>2.2452615962812792</v>
      </c>
      <c r="H42">
        <v>0.91625521000320986</v>
      </c>
      <c r="I42">
        <v>0.65409836065574667</v>
      </c>
    </row>
    <row r="43" spans="1:9" x14ac:dyDescent="0.2">
      <c r="A43" s="4">
        <v>43252</v>
      </c>
      <c r="B43">
        <v>0</v>
      </c>
      <c r="C43">
        <v>1.2506941900479969</v>
      </c>
      <c r="D43">
        <v>1.6040587525420742</v>
      </c>
      <c r="E43">
        <v>2.2846831595577899</v>
      </c>
      <c r="F43">
        <v>2.6233334972301163</v>
      </c>
      <c r="G43">
        <v>3.0258016022154082</v>
      </c>
      <c r="H43">
        <v>1.4675857646681665</v>
      </c>
      <c r="I43">
        <v>1.2857704918032788</v>
      </c>
    </row>
    <row r="44" spans="1:9" x14ac:dyDescent="0.2">
      <c r="A44" s="4">
        <v>43282</v>
      </c>
      <c r="B44">
        <v>0</v>
      </c>
      <c r="C44">
        <v>4.586425734242388</v>
      </c>
      <c r="D44">
        <v>3.021045040391404</v>
      </c>
      <c r="E44">
        <v>3.3256001748281561</v>
      </c>
      <c r="F44">
        <v>3.3873208704682467</v>
      </c>
      <c r="G44">
        <v>3.8222984867965577</v>
      </c>
      <c r="H44">
        <v>5.6435395960243593</v>
      </c>
      <c r="I44">
        <v>6.0851803278688514</v>
      </c>
    </row>
    <row r="45" spans="1:9" x14ac:dyDescent="0.2">
      <c r="A45" s="4">
        <v>43313</v>
      </c>
      <c r="B45">
        <v>0</v>
      </c>
      <c r="C45">
        <v>2.3448452470906762</v>
      </c>
      <c r="D45">
        <v>4.1830364597609133</v>
      </c>
      <c r="E45">
        <v>2.6129118444338282</v>
      </c>
      <c r="F45">
        <v>3.6963799137449471</v>
      </c>
      <c r="G45">
        <v>3.3470813964988624</v>
      </c>
      <c r="H45">
        <v>4.0586085283744815</v>
      </c>
      <c r="I45">
        <v>4.066131147540978</v>
      </c>
    </row>
    <row r="46" spans="1:9" x14ac:dyDescent="0.2">
      <c r="A46" s="4">
        <v>43344</v>
      </c>
      <c r="B46">
        <v>0</v>
      </c>
      <c r="C46">
        <v>0.68544694370755788</v>
      </c>
      <c r="D46">
        <v>4.3300742041729876</v>
      </c>
      <c r="E46">
        <v>3.4585849076196831</v>
      </c>
      <c r="F46">
        <v>2.9364032684785015</v>
      </c>
      <c r="G46">
        <v>2.1209771535950956</v>
      </c>
      <c r="H46">
        <v>3.1194613658223802</v>
      </c>
      <c r="I46">
        <v>2.1271475409836156</v>
      </c>
    </row>
    <row r="47" spans="1:9" x14ac:dyDescent="0.2">
      <c r="A47" s="4">
        <v>43374</v>
      </c>
      <c r="B47">
        <v>0</v>
      </c>
      <c r="C47">
        <v>0</v>
      </c>
      <c r="D47">
        <v>0.52744681329361831</v>
      </c>
      <c r="E47">
        <v>0</v>
      </c>
      <c r="F47">
        <v>0.48146970642887776</v>
      </c>
      <c r="G47">
        <v>0</v>
      </c>
      <c r="H47">
        <v>0</v>
      </c>
      <c r="I47">
        <v>0</v>
      </c>
    </row>
    <row r="48" spans="1:9" x14ac:dyDescent="0.2">
      <c r="A48" s="4">
        <v>43405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 s="4">
        <v>43435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 s="4">
        <v>43466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 s="4">
        <v>43497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 s="4">
        <v>43525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 s="4">
        <v>43556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 s="4">
        <v>43586</v>
      </c>
      <c r="B54">
        <v>9.4088381496842177E-2</v>
      </c>
      <c r="C54">
        <v>1.1351763530059429</v>
      </c>
      <c r="D54">
        <v>0.68681461803358623</v>
      </c>
      <c r="E54">
        <v>1.9395273694557631</v>
      </c>
      <c r="F54">
        <v>1.8210106192528961</v>
      </c>
      <c r="G54">
        <v>1.375353575314014</v>
      </c>
      <c r="H54">
        <v>0.99320294966335154</v>
      </c>
      <c r="I54">
        <v>0</v>
      </c>
    </row>
    <row r="55" spans="1:9" x14ac:dyDescent="0.2">
      <c r="A55" s="4">
        <v>43617</v>
      </c>
      <c r="B55">
        <v>4.3647932543244821</v>
      </c>
      <c r="C55">
        <v>2.5954306521985617</v>
      </c>
      <c r="D55">
        <v>2.0057550621606151</v>
      </c>
      <c r="E55">
        <v>4.1034120893476489</v>
      </c>
      <c r="F55">
        <v>0.46994097654556782</v>
      </c>
      <c r="G55">
        <v>1.9731935515774897</v>
      </c>
      <c r="H55">
        <v>1.9155177941647996</v>
      </c>
      <c r="I55">
        <v>4.3278688524594133E-3</v>
      </c>
    </row>
    <row r="56" spans="1:9" x14ac:dyDescent="0.2">
      <c r="A56" s="4">
        <v>43647</v>
      </c>
      <c r="B56">
        <v>2.9127315906526992</v>
      </c>
      <c r="C56">
        <v>4.2706206847892538</v>
      </c>
      <c r="D56">
        <v>2.7300379752437869</v>
      </c>
      <c r="E56">
        <v>2.6633545144809561</v>
      </c>
      <c r="F56">
        <v>2.5319207195631641</v>
      </c>
      <c r="G56">
        <v>2.677990307585798</v>
      </c>
      <c r="H56">
        <v>3.7422571336966945</v>
      </c>
      <c r="I56">
        <v>3.6674754098360647</v>
      </c>
    </row>
    <row r="57" spans="1:9" x14ac:dyDescent="0.2">
      <c r="A57" s="4">
        <v>43678</v>
      </c>
      <c r="B57">
        <v>2.3471246425249781</v>
      </c>
      <c r="C57">
        <v>2.5238527605416867</v>
      </c>
      <c r="D57">
        <v>2.4352450171422531</v>
      </c>
      <c r="E57">
        <v>3.1298695343992953</v>
      </c>
      <c r="F57">
        <v>1.4580893294168182</v>
      </c>
      <c r="G57">
        <v>2.8931025615666108</v>
      </c>
      <c r="H57">
        <v>3.3090413594100703</v>
      </c>
      <c r="I57">
        <v>3.2017377049180329</v>
      </c>
    </row>
    <row r="58" spans="1:9" x14ac:dyDescent="0.2">
      <c r="A58" s="4">
        <v>43709</v>
      </c>
      <c r="B58">
        <v>2.0303571730091847</v>
      </c>
      <c r="C58">
        <v>3.5941779166568413</v>
      </c>
      <c r="D58">
        <v>4.0644812390689991</v>
      </c>
      <c r="E58">
        <v>2.4153113668587958</v>
      </c>
      <c r="F58">
        <v>3.6179255413525997</v>
      </c>
      <c r="G58">
        <v>1.1276392048264268</v>
      </c>
      <c r="H58">
        <v>2.7262584161590273</v>
      </c>
      <c r="I58">
        <v>3.5081311475409831</v>
      </c>
    </row>
    <row r="59" spans="1:9" x14ac:dyDescent="0.2">
      <c r="A59" s="4">
        <v>43739</v>
      </c>
      <c r="B59">
        <v>0.42541270612283877</v>
      </c>
      <c r="C59">
        <v>0</v>
      </c>
      <c r="D59">
        <v>0</v>
      </c>
      <c r="E59">
        <v>0.46303840466382179</v>
      </c>
      <c r="F59">
        <v>0.48605090259291167</v>
      </c>
      <c r="G59">
        <v>0</v>
      </c>
      <c r="H59">
        <v>0</v>
      </c>
      <c r="I59">
        <v>0</v>
      </c>
    </row>
    <row r="60" spans="1:9" x14ac:dyDescent="0.2">
      <c r="A60" s="4">
        <v>43770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 s="4">
        <v>43800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 s="4">
        <v>43831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 s="4">
        <v>43862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 s="4">
        <v>43891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 s="4">
        <v>43922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 s="4">
        <v>43952</v>
      </c>
      <c r="B66">
        <v>2.0746606465413668</v>
      </c>
      <c r="C66">
        <v>1.6897398918054491</v>
      </c>
      <c r="D66">
        <v>1.212022960618947</v>
      </c>
      <c r="E66">
        <v>2.2888522810062595</v>
      </c>
      <c r="F66">
        <v>0.81369361525876571</v>
      </c>
      <c r="G66">
        <v>1.4034101473642566</v>
      </c>
      <c r="H66">
        <v>0</v>
      </c>
      <c r="I66">
        <v>0</v>
      </c>
    </row>
    <row r="67" spans="1:9" x14ac:dyDescent="0.2">
      <c r="A67" s="4">
        <v>43983</v>
      </c>
      <c r="B67">
        <v>2.8798084845950833</v>
      </c>
      <c r="C67">
        <v>3.740444068211497</v>
      </c>
      <c r="D67">
        <v>3.2589641739007531</v>
      </c>
      <c r="E67">
        <v>3.3947572836033859</v>
      </c>
      <c r="F67">
        <v>2.6204708826976835</v>
      </c>
      <c r="G67">
        <v>3.5731895954900597</v>
      </c>
      <c r="H67">
        <v>1.3307149727476715</v>
      </c>
      <c r="I67">
        <v>1.4827540983606553</v>
      </c>
    </row>
    <row r="68" spans="1:9" x14ac:dyDescent="0.2">
      <c r="A68" s="4">
        <v>44013</v>
      </c>
      <c r="B68">
        <v>2.644255037195745</v>
      </c>
      <c r="C68">
        <v>3.1251877497087559</v>
      </c>
      <c r="D68">
        <v>3.4773939996418415</v>
      </c>
      <c r="E68">
        <v>4.0218529764904245</v>
      </c>
      <c r="F68">
        <v>3.4361210607848283</v>
      </c>
      <c r="G68">
        <v>4.109593512016616</v>
      </c>
      <c r="H68">
        <v>5.6809554344341135</v>
      </c>
      <c r="I68">
        <v>5.0255737704918042</v>
      </c>
    </row>
    <row r="69" spans="1:9" x14ac:dyDescent="0.2">
      <c r="A69" s="4">
        <v>44044</v>
      </c>
      <c r="B69">
        <v>5.1967415614041528</v>
      </c>
      <c r="C69">
        <v>1.8302601557003317</v>
      </c>
      <c r="D69">
        <v>3.8559449753534856</v>
      </c>
      <c r="E69">
        <v>2.3294966743230057</v>
      </c>
      <c r="F69">
        <v>3.4275128539493411</v>
      </c>
      <c r="G69">
        <v>4.1777410740777379</v>
      </c>
      <c r="H69">
        <v>3.733889067008656</v>
      </c>
      <c r="I69">
        <v>4.5724918032786883</v>
      </c>
    </row>
    <row r="70" spans="1:9" x14ac:dyDescent="0.2">
      <c r="A70" s="4">
        <v>44075</v>
      </c>
      <c r="B70">
        <v>2.5553739304326215</v>
      </c>
      <c r="C70">
        <v>5.1996817351457123</v>
      </c>
      <c r="D70">
        <v>1.6445338363917539</v>
      </c>
      <c r="E70">
        <v>3.587833243085409</v>
      </c>
      <c r="F70">
        <v>2.6425381816738942</v>
      </c>
      <c r="G70">
        <v>0.22282662446840049</v>
      </c>
      <c r="H70">
        <v>3.3171208720743821</v>
      </c>
      <c r="I70">
        <v>4.2963934426229518</v>
      </c>
    </row>
    <row r="71" spans="1:9" x14ac:dyDescent="0.2">
      <c r="A71" s="4">
        <v>44105</v>
      </c>
      <c r="B71">
        <v>2.5097339797504823</v>
      </c>
      <c r="C71">
        <v>0.44291663635792217</v>
      </c>
      <c r="D71">
        <v>0</v>
      </c>
      <c r="E71">
        <v>1.462501475331452</v>
      </c>
      <c r="F71">
        <v>0</v>
      </c>
      <c r="G71">
        <v>0</v>
      </c>
      <c r="H71">
        <v>0</v>
      </c>
      <c r="I71">
        <v>0</v>
      </c>
    </row>
    <row r="72" spans="1:9" x14ac:dyDescent="0.2">
      <c r="A72" s="4">
        <v>44136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 s="4">
        <v>44166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 s="4">
        <v>44197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 s="4">
        <v>44228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 s="4">
        <v>44256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 s="4">
        <v>44287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2.456237816764133</v>
      </c>
      <c r="I77">
        <v>0</v>
      </c>
    </row>
    <row r="78" spans="1:9" x14ac:dyDescent="0.2">
      <c r="A78" s="4">
        <v>44317</v>
      </c>
      <c r="B78">
        <v>0</v>
      </c>
      <c r="C78">
        <v>0.29833734532981249</v>
      </c>
      <c r="D78">
        <v>9.9314076903649351E-3</v>
      </c>
      <c r="E78">
        <v>0.63922021110886862</v>
      </c>
      <c r="F78">
        <v>0.39132793514555531</v>
      </c>
      <c r="G78">
        <v>0</v>
      </c>
      <c r="H78">
        <v>1.6187134502923994</v>
      </c>
      <c r="I78">
        <v>0</v>
      </c>
    </row>
    <row r="79" spans="1:9" x14ac:dyDescent="0.2">
      <c r="A79" s="4">
        <v>44348</v>
      </c>
      <c r="B79">
        <v>3.2185740752149203</v>
      </c>
      <c r="C79">
        <v>1.4058906871939474</v>
      </c>
      <c r="D79">
        <v>1.5039876933588829</v>
      </c>
      <c r="E79">
        <v>1.870845463429136</v>
      </c>
      <c r="F79">
        <v>2.1062439251132448</v>
      </c>
      <c r="G79">
        <v>1.7911106715458411</v>
      </c>
      <c r="H79">
        <v>2.5456140350877186</v>
      </c>
      <c r="I79">
        <v>1.6874754098360663</v>
      </c>
    </row>
    <row r="80" spans="1:9" x14ac:dyDescent="0.2">
      <c r="A80" s="4">
        <v>44378</v>
      </c>
      <c r="B80">
        <v>3.6730254050369231</v>
      </c>
      <c r="C80">
        <v>4.015909704427906</v>
      </c>
      <c r="D80">
        <v>2.2284982943727618</v>
      </c>
      <c r="E80">
        <v>4.0457769333560494</v>
      </c>
      <c r="F80">
        <v>3.7902178264187039</v>
      </c>
      <c r="G80">
        <v>3.7022094748293943</v>
      </c>
      <c r="H80">
        <v>6.3948343079921983</v>
      </c>
      <c r="I80">
        <v>5.5434098360655746</v>
      </c>
    </row>
    <row r="81" spans="1:9" x14ac:dyDescent="0.2">
      <c r="A81" s="4">
        <v>44409</v>
      </c>
      <c r="B81">
        <v>3.7133285748553631</v>
      </c>
      <c r="C81">
        <v>3.9095510885209817</v>
      </c>
      <c r="D81">
        <v>3.0845603572962004</v>
      </c>
      <c r="E81">
        <v>3.1672885143666805</v>
      </c>
      <c r="F81">
        <v>2.2192211654305649</v>
      </c>
      <c r="G81">
        <v>3.6622846404905558</v>
      </c>
      <c r="H81">
        <v>5.7097465886939567</v>
      </c>
      <c r="I81">
        <v>6.537049180327867</v>
      </c>
    </row>
    <row r="82" spans="1:9" x14ac:dyDescent="0.2">
      <c r="A82" s="4">
        <v>44440</v>
      </c>
      <c r="B82">
        <v>3.8159380055567502</v>
      </c>
      <c r="C82">
        <v>1.5527093046102973</v>
      </c>
      <c r="D82">
        <v>2.1183054251051834</v>
      </c>
      <c r="E82">
        <v>5.2793025659368249</v>
      </c>
      <c r="F82">
        <v>1.0110044867523149</v>
      </c>
      <c r="G82">
        <v>2.1344357630303623</v>
      </c>
      <c r="H82">
        <v>3.2596491228070192</v>
      </c>
      <c r="I82">
        <v>2.7257704918032775</v>
      </c>
    </row>
    <row r="83" spans="1:9" x14ac:dyDescent="0.2">
      <c r="A83" s="4">
        <v>44470</v>
      </c>
      <c r="B83">
        <v>1.0019939875904422E-2</v>
      </c>
      <c r="C83">
        <v>0</v>
      </c>
      <c r="D83">
        <v>0</v>
      </c>
      <c r="E83">
        <v>9.3481758007266328E-3</v>
      </c>
      <c r="F83">
        <v>0</v>
      </c>
      <c r="G83">
        <v>0</v>
      </c>
      <c r="H83">
        <v>0</v>
      </c>
      <c r="I83">
        <v>0</v>
      </c>
    </row>
    <row r="84" spans="1:9" x14ac:dyDescent="0.2">
      <c r="A84" s="4">
        <v>44501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 s="4">
        <v>44531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 s="4">
        <v>44562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 s="4">
        <v>44593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 s="4">
        <v>44621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1.4907407407407394</v>
      </c>
      <c r="I88">
        <v>0</v>
      </c>
    </row>
    <row r="89" spans="1:9" x14ac:dyDescent="0.2">
      <c r="A89" s="4">
        <v>44652</v>
      </c>
      <c r="B89">
        <v>2.2512679605058699</v>
      </c>
      <c r="C89">
        <v>1.8404449870924624</v>
      </c>
      <c r="D89">
        <v>3.6765075734734936</v>
      </c>
      <c r="E89">
        <v>2.9327919983194177</v>
      </c>
      <c r="F89">
        <v>3.495692662957897</v>
      </c>
      <c r="G89">
        <v>1.9316308970428244</v>
      </c>
      <c r="H89">
        <v>4.76686159844055</v>
      </c>
      <c r="I89">
        <v>0</v>
      </c>
    </row>
    <row r="90" spans="1:9" x14ac:dyDescent="0.2">
      <c r="A90" s="4">
        <v>44682</v>
      </c>
      <c r="B90">
        <v>2.4418151556259047</v>
      </c>
      <c r="C90">
        <v>2.4098196416640456</v>
      </c>
      <c r="D90">
        <v>1.6271444506071424</v>
      </c>
      <c r="E90">
        <v>0</v>
      </c>
      <c r="F90">
        <v>3.0009333088408816</v>
      </c>
      <c r="G90">
        <v>1.358453169815053</v>
      </c>
      <c r="H90">
        <v>3.6754385964912202</v>
      </c>
      <c r="I90">
        <v>1.3904262295081991</v>
      </c>
    </row>
    <row r="91" spans="1:9" x14ac:dyDescent="0.2">
      <c r="A91" s="4">
        <v>44713</v>
      </c>
      <c r="B91">
        <v>1.8446169142269437</v>
      </c>
      <c r="C91">
        <v>4.1632744758820976</v>
      </c>
      <c r="D91">
        <v>5.3307187081800373</v>
      </c>
      <c r="E91">
        <v>3.8753600113996738</v>
      </c>
      <c r="F91">
        <v>1.3365774492904881</v>
      </c>
      <c r="G91">
        <v>3.7191514192463657</v>
      </c>
      <c r="H91">
        <v>5.5605263157894722</v>
      </c>
      <c r="I91">
        <v>0.45550819672130871</v>
      </c>
    </row>
    <row r="92" spans="1:9" x14ac:dyDescent="0.2">
      <c r="A92" s="4">
        <v>44743</v>
      </c>
      <c r="B92">
        <v>3.2480027658011781</v>
      </c>
      <c r="C92">
        <v>3.3696371505983933</v>
      </c>
      <c r="D92">
        <v>3.5916516479406173</v>
      </c>
      <c r="E92">
        <v>2.2536384557483169</v>
      </c>
      <c r="F92">
        <v>2.5074195647605704</v>
      </c>
      <c r="G92">
        <v>4.1419760656710523</v>
      </c>
      <c r="H92">
        <v>5.0818713450292439</v>
      </c>
      <c r="I92">
        <v>6.9399836065573801</v>
      </c>
    </row>
    <row r="93" spans="1:9" x14ac:dyDescent="0.2">
      <c r="A93" s="4">
        <v>44774</v>
      </c>
      <c r="B93">
        <v>3.1980823824425597</v>
      </c>
      <c r="C93">
        <v>3.9329222296313948</v>
      </c>
      <c r="D93">
        <v>2.5986402004993736</v>
      </c>
      <c r="E93">
        <v>3.0361933359067943</v>
      </c>
      <c r="F93">
        <v>2.4031935012617853</v>
      </c>
      <c r="G93">
        <v>3.6568430422312312</v>
      </c>
      <c r="H93">
        <v>7.4880116959064269</v>
      </c>
      <c r="I93">
        <v>6.5163442622950773</v>
      </c>
    </row>
    <row r="94" spans="1:9" x14ac:dyDescent="0.2">
      <c r="A94" s="4">
        <v>44805</v>
      </c>
      <c r="B94">
        <v>3.9441542943192895</v>
      </c>
      <c r="C94">
        <v>2.2899995156537227</v>
      </c>
      <c r="D94">
        <v>0.53905082740788757</v>
      </c>
      <c r="E94">
        <v>1.8116725855438711</v>
      </c>
      <c r="F94">
        <v>2.6109511899934619</v>
      </c>
      <c r="G94">
        <v>3.0507961625951969</v>
      </c>
      <c r="H94">
        <v>5.0670565302144359</v>
      </c>
      <c r="I94">
        <v>4.7536721311475416</v>
      </c>
    </row>
    <row r="95" spans="1:9" x14ac:dyDescent="0.2">
      <c r="A95" s="4">
        <v>44835</v>
      </c>
      <c r="B95">
        <v>0</v>
      </c>
      <c r="C95">
        <v>0</v>
      </c>
      <c r="D95">
        <v>2.847390518993008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 s="4">
        <v>44866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 s="4">
        <v>44896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FieldIDs</vt:lpstr>
      <vt:lpstr>FieldAnnualData</vt:lpstr>
      <vt:lpstr>FieldMonthlyIrrigation</vt:lpstr>
      <vt:lpstr>FieldMonthlyIrrigation-PasteVal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Zipper, Sam</dc:creator>
  <cp:lastModifiedBy>Rahman, Mahbubur</cp:lastModifiedBy>
  <dcterms:created xsi:type="dcterms:W3CDTF">2015-06-05T18:17:20Z</dcterms:created>
  <dcterms:modified xsi:type="dcterms:W3CDTF">2024-05-07T23:02:06Z</dcterms:modified>
</cp:coreProperties>
</file>